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U:\B000005_営業本部　ハウス備品事業本部\障がい者農園事業部\004_はーとふる農園　愛川\農業指導員\砂栽培研究\イチゴ栽培\"/>
    </mc:Choice>
  </mc:AlternateContent>
  <xr:revisionPtr revIDLastSave="0" documentId="13_ncr:1_{565462FE-859A-4522-AA89-F52FA474775E}" xr6:coauthVersionLast="47" xr6:coauthVersionMax="47" xr10:uidLastSave="{00000000-0000-0000-0000-000000000000}"/>
  <bookViews>
    <workbookView minimized="1" xWindow="5140" yWindow="3450" windowWidth="14400" windowHeight="8170" firstSheet="10" activeTab="15" xr2:uid="{00000000-000D-0000-FFFF-FFFF00000000}"/>
  </bookViews>
  <sheets>
    <sheet name="Sheet5" sheetId="17" state="hidden" r:id="rId1"/>
    <sheet name="Sheet4" sheetId="16" state="hidden" r:id="rId2"/>
    <sheet name="企" sheetId="3" r:id="rId3"/>
    <sheet name="Sheet2" sheetId="22" r:id="rId4"/>
    <sheet name="企収" sheetId="2" r:id="rId5"/>
    <sheet name="品" sheetId="4" r:id="rId6"/>
    <sheet name="Sheet1" sheetId="21" r:id="rId7"/>
    <sheet name="品収" sheetId="6" r:id="rId8"/>
    <sheet name="元" sheetId="1" r:id="rId9"/>
    <sheet name="企コ" sheetId="15" r:id="rId10"/>
    <sheet name="品コ" sheetId="14" r:id="rId11"/>
    <sheet name="方" sheetId="8" r:id="rId12"/>
    <sheet name="方コ" sheetId="19" r:id="rId13"/>
    <sheet name="方収" sheetId="12" r:id="rId14"/>
    <sheet name="月" sheetId="9" r:id="rId15"/>
    <sheet name="Sheet3" sheetId="23" r:id="rId16"/>
    <sheet name="月コ" sheetId="20" r:id="rId17"/>
    <sheet name="月収" sheetId="10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3" l="1"/>
  <c r="S6" i="23"/>
  <c r="R6" i="23"/>
  <c r="Q6" i="23"/>
  <c r="P6" i="23"/>
  <c r="O6" i="23"/>
  <c r="N6" i="23"/>
  <c r="D7" i="23"/>
  <c r="E7" i="23"/>
  <c r="F7" i="23"/>
  <c r="G7" i="23"/>
  <c r="H7" i="23"/>
  <c r="I7" i="23"/>
  <c r="J7" i="23"/>
  <c r="C18" i="22"/>
  <c r="D18" i="22"/>
  <c r="E18" i="22"/>
  <c r="F18" i="22"/>
  <c r="G18" i="22"/>
  <c r="B18" i="22"/>
  <c r="E22" i="3"/>
  <c r="F22" i="3"/>
  <c r="G22" i="3"/>
  <c r="H22" i="3"/>
  <c r="I22" i="3"/>
  <c r="J22" i="3"/>
  <c r="K22" i="3"/>
  <c r="L22" i="3"/>
  <c r="M22" i="3"/>
  <c r="D22" i="3"/>
  <c r="C17" i="22"/>
  <c r="D17" i="22"/>
  <c r="E17" i="22"/>
  <c r="F17" i="22"/>
  <c r="G17" i="22"/>
  <c r="B17" i="22"/>
  <c r="X4" i="21" l="1"/>
  <c r="Y4" i="21"/>
  <c r="Z4" i="21"/>
  <c r="AA4" i="21"/>
  <c r="X5" i="21"/>
  <c r="Y5" i="21"/>
  <c r="Z5" i="21"/>
  <c r="AA5" i="21"/>
  <c r="X6" i="21"/>
  <c r="Y6" i="21"/>
  <c r="Z6" i="21"/>
  <c r="AA6" i="21"/>
  <c r="X7" i="21"/>
  <c r="Y7" i="21"/>
  <c r="Z7" i="21"/>
  <c r="AA7" i="21"/>
  <c r="X8" i="21"/>
  <c r="Y8" i="21"/>
  <c r="Z8" i="21"/>
  <c r="AA8" i="21"/>
  <c r="X9" i="21"/>
  <c r="Y9" i="21"/>
  <c r="Z9" i="21"/>
  <c r="AA9" i="21"/>
  <c r="X10" i="21"/>
  <c r="Y10" i="21"/>
  <c r="Z10" i="21"/>
  <c r="AA10" i="21"/>
  <c r="X11" i="21"/>
  <c r="Y11" i="21"/>
  <c r="Z11" i="21"/>
  <c r="AA11" i="21"/>
  <c r="X12" i="21"/>
  <c r="Y12" i="21"/>
  <c r="Z12" i="21"/>
  <c r="AA12" i="21"/>
  <c r="X13" i="21"/>
  <c r="Y13" i="21"/>
  <c r="Z13" i="21"/>
  <c r="AA13" i="21"/>
  <c r="X14" i="21"/>
  <c r="Y14" i="21"/>
  <c r="Z14" i="21"/>
  <c r="AA14" i="21"/>
  <c r="X15" i="21"/>
  <c r="Y15" i="21"/>
  <c r="Z15" i="21"/>
  <c r="AA15" i="21"/>
  <c r="X16" i="21"/>
  <c r="Y16" i="21"/>
  <c r="Z16" i="21"/>
  <c r="AA16" i="21"/>
  <c r="X17" i="21"/>
  <c r="Y17" i="21"/>
  <c r="Z17" i="21"/>
  <c r="AA17" i="21"/>
  <c r="X18" i="21"/>
  <c r="Y18" i="21"/>
  <c r="Z18" i="21"/>
  <c r="AA18" i="21"/>
  <c r="X19" i="21"/>
  <c r="Y19" i="21"/>
  <c r="Z19" i="21"/>
  <c r="AA19" i="21"/>
  <c r="X20" i="21"/>
  <c r="Y20" i="21"/>
  <c r="Z20" i="21"/>
  <c r="AA20" i="21"/>
  <c r="X21" i="21"/>
  <c r="Y21" i="21"/>
  <c r="Z21" i="21"/>
  <c r="AA21" i="21"/>
  <c r="X22" i="21"/>
  <c r="Y22" i="21"/>
  <c r="Z22" i="21"/>
  <c r="AA22" i="21"/>
  <c r="X23" i="21"/>
  <c r="Y23" i="21"/>
  <c r="Z23" i="21"/>
  <c r="AA23" i="21"/>
  <c r="X24" i="21"/>
  <c r="Y24" i="21"/>
  <c r="Z24" i="21"/>
  <c r="AA24" i="21"/>
  <c r="X25" i="21"/>
  <c r="Y25" i="21"/>
  <c r="Z25" i="21"/>
  <c r="AA25" i="21"/>
  <c r="X26" i="21"/>
  <c r="Y26" i="21"/>
  <c r="Z26" i="21"/>
  <c r="AA26" i="21"/>
  <c r="X27" i="21"/>
  <c r="Y27" i="21"/>
  <c r="Z27" i="21"/>
  <c r="AA27" i="21"/>
  <c r="X28" i="21"/>
  <c r="Y28" i="21"/>
  <c r="Z28" i="21"/>
  <c r="AA28" i="21"/>
  <c r="X29" i="21"/>
  <c r="Y29" i="21"/>
  <c r="Z29" i="21"/>
  <c r="AA29" i="21"/>
  <c r="X30" i="21"/>
  <c r="Y30" i="21"/>
  <c r="Z30" i="21"/>
  <c r="AA30" i="21"/>
  <c r="X31" i="21"/>
  <c r="Y31" i="21"/>
  <c r="Z31" i="21"/>
  <c r="AA31" i="21"/>
  <c r="X32" i="21"/>
  <c r="Y32" i="21"/>
  <c r="Z32" i="21"/>
  <c r="AA32" i="21"/>
  <c r="X33" i="21"/>
  <c r="Y33" i="21"/>
  <c r="Z33" i="21"/>
  <c r="AA33" i="21"/>
  <c r="X34" i="21"/>
  <c r="Y34" i="21"/>
  <c r="Z34" i="21"/>
  <c r="AA34" i="21"/>
  <c r="X35" i="21"/>
  <c r="Y35" i="21"/>
  <c r="Z35" i="21"/>
  <c r="AA35" i="21"/>
  <c r="X36" i="21"/>
  <c r="Y36" i="21"/>
  <c r="Z36" i="21"/>
  <c r="AA36" i="21"/>
  <c r="X37" i="21"/>
  <c r="Y37" i="21"/>
  <c r="Z37" i="21"/>
  <c r="AA37" i="21"/>
  <c r="X38" i="21"/>
  <c r="Y38" i="21"/>
  <c r="Z38" i="21"/>
  <c r="AA38" i="21"/>
  <c r="X39" i="21"/>
  <c r="Y39" i="21"/>
  <c r="Z39" i="21"/>
  <c r="AA39" i="21"/>
  <c r="X40" i="21"/>
  <c r="Y40" i="21"/>
  <c r="Z40" i="21"/>
  <c r="AA40" i="21"/>
  <c r="X41" i="21"/>
  <c r="Y41" i="21"/>
  <c r="Z41" i="21"/>
  <c r="AA41" i="21"/>
  <c r="X42" i="21"/>
  <c r="Y42" i="21"/>
  <c r="Z42" i="21"/>
  <c r="AA42" i="21"/>
  <c r="X43" i="21"/>
  <c r="Y43" i="21"/>
  <c r="Z43" i="21"/>
  <c r="AA43" i="21"/>
  <c r="X44" i="21"/>
  <c r="Y44" i="21"/>
  <c r="Z44" i="21"/>
  <c r="AA44" i="21"/>
  <c r="X45" i="21"/>
  <c r="Y45" i="21"/>
  <c r="Z45" i="21"/>
  <c r="AA45" i="21"/>
  <c r="X46" i="21"/>
  <c r="Y46" i="21"/>
  <c r="Z46" i="21"/>
  <c r="AA46" i="21"/>
  <c r="X47" i="21"/>
  <c r="Y47" i="21"/>
  <c r="Z47" i="21"/>
  <c r="AA47" i="21"/>
  <c r="X48" i="21"/>
  <c r="Y48" i="21"/>
  <c r="Z48" i="21"/>
  <c r="AA48" i="21"/>
  <c r="X49" i="21"/>
  <c r="Y49" i="21"/>
  <c r="Z49" i="21"/>
  <c r="AA49" i="21"/>
  <c r="X50" i="21"/>
  <c r="Y50" i="21"/>
  <c r="Z50" i="21"/>
  <c r="AA50" i="21"/>
  <c r="X51" i="21"/>
  <c r="Y51" i="21"/>
  <c r="Z51" i="21"/>
  <c r="AA51" i="21"/>
  <c r="X52" i="21"/>
  <c r="Y52" i="21"/>
  <c r="Z52" i="21"/>
  <c r="AA52" i="21"/>
  <c r="X53" i="21"/>
  <c r="Y53" i="21"/>
  <c r="Z53" i="21"/>
  <c r="AA53" i="21"/>
  <c r="X54" i="21"/>
  <c r="Y54" i="21"/>
  <c r="Z54" i="21"/>
  <c r="AA54" i="21"/>
  <c r="X55" i="21"/>
  <c r="Y55" i="21"/>
  <c r="Z55" i="21"/>
  <c r="AA55" i="21"/>
  <c r="X56" i="21"/>
  <c r="Y56" i="21"/>
  <c r="Z56" i="21"/>
  <c r="AA56" i="21"/>
  <c r="X57" i="21"/>
  <c r="Y57" i="21"/>
  <c r="Z57" i="21"/>
  <c r="AA57" i="21"/>
  <c r="X58" i="21"/>
  <c r="Y58" i="21"/>
  <c r="Z58" i="21"/>
  <c r="AA58" i="21"/>
  <c r="X59" i="21"/>
  <c r="Y59" i="21"/>
  <c r="Z59" i="21"/>
  <c r="AA59" i="21"/>
  <c r="X60" i="21"/>
  <c r="Y60" i="21"/>
  <c r="Z60" i="21"/>
  <c r="AA60" i="21"/>
  <c r="X61" i="21"/>
  <c r="Y61" i="21"/>
  <c r="Z61" i="21"/>
  <c r="AA61" i="21"/>
  <c r="X62" i="21"/>
  <c r="Y62" i="21"/>
  <c r="Z62" i="21"/>
  <c r="AA62" i="21"/>
  <c r="X63" i="21"/>
  <c r="Y63" i="21"/>
  <c r="Z63" i="21"/>
  <c r="AA63" i="21"/>
  <c r="X64" i="21"/>
  <c r="Y64" i="21"/>
  <c r="Z64" i="21"/>
  <c r="AA64" i="21"/>
  <c r="X65" i="21"/>
  <c r="Y65" i="21"/>
  <c r="Z65" i="21"/>
  <c r="AA65" i="21"/>
  <c r="X66" i="21"/>
  <c r="Y66" i="21"/>
  <c r="Z66" i="21"/>
  <c r="AA66" i="21"/>
  <c r="X67" i="21"/>
  <c r="Y67" i="21"/>
  <c r="Z67" i="21"/>
  <c r="AA67" i="21"/>
  <c r="X68" i="21"/>
  <c r="Y68" i="21"/>
  <c r="Z68" i="21"/>
  <c r="AA68" i="21"/>
  <c r="X69" i="21"/>
  <c r="Y69" i="21"/>
  <c r="Z69" i="21"/>
  <c r="AA69" i="21"/>
  <c r="X70" i="21"/>
  <c r="Y70" i="21"/>
  <c r="Z70" i="21"/>
  <c r="AA70" i="21"/>
  <c r="X71" i="21"/>
  <c r="Y71" i="21"/>
  <c r="Z71" i="21"/>
  <c r="AA71" i="21"/>
  <c r="X72" i="21"/>
  <c r="Y72" i="21"/>
  <c r="Z72" i="21"/>
  <c r="AA72" i="21"/>
  <c r="X73" i="21"/>
  <c r="Y73" i="21"/>
  <c r="Z73" i="21"/>
  <c r="AA73" i="21"/>
  <c r="X74" i="21"/>
  <c r="Y74" i="21"/>
  <c r="Z74" i="21"/>
  <c r="AA74" i="21"/>
  <c r="X75" i="21"/>
  <c r="Y75" i="21"/>
  <c r="Z75" i="21"/>
  <c r="AA75" i="21"/>
  <c r="X76" i="21"/>
  <c r="Y76" i="21"/>
  <c r="Z76" i="21"/>
  <c r="AA76" i="21"/>
  <c r="X77" i="21"/>
  <c r="Y77" i="21"/>
  <c r="Z77" i="21"/>
  <c r="AA77" i="21"/>
  <c r="X78" i="21"/>
  <c r="Y78" i="21"/>
  <c r="Z78" i="21"/>
  <c r="AA78" i="21"/>
  <c r="X79" i="21"/>
  <c r="Y79" i="21"/>
  <c r="Z79" i="21"/>
  <c r="AA79" i="21"/>
  <c r="X80" i="21"/>
  <c r="Y80" i="21"/>
  <c r="Z80" i="21"/>
  <c r="AA80" i="21"/>
  <c r="X81" i="21"/>
  <c r="Y81" i="21"/>
  <c r="Z81" i="21"/>
  <c r="AA81" i="21"/>
  <c r="X82" i="21"/>
  <c r="Y82" i="21"/>
  <c r="Z82" i="21"/>
  <c r="AA82" i="21"/>
  <c r="X83" i="21"/>
  <c r="Y83" i="21"/>
  <c r="Z83" i="21"/>
  <c r="AA83" i="21"/>
  <c r="X84" i="21"/>
  <c r="Y84" i="21"/>
  <c r="Z84" i="21"/>
  <c r="AA84" i="21"/>
  <c r="X85" i="21"/>
  <c r="Y85" i="21"/>
  <c r="Z85" i="21"/>
  <c r="AA85" i="21"/>
  <c r="X86" i="21"/>
  <c r="Y86" i="21"/>
  <c r="Z86" i="21"/>
  <c r="AA86" i="21"/>
  <c r="X87" i="21"/>
  <c r="Y87" i="21"/>
  <c r="Z87" i="21"/>
  <c r="AA87" i="21"/>
  <c r="X88" i="21"/>
  <c r="Y88" i="21"/>
  <c r="Z88" i="21"/>
  <c r="AA88" i="21"/>
  <c r="X89" i="21"/>
  <c r="Y89" i="21"/>
  <c r="Z89" i="21"/>
  <c r="AA89" i="21"/>
  <c r="X90" i="21"/>
  <c r="Y90" i="21"/>
  <c r="Z90" i="21"/>
  <c r="AA90" i="21"/>
  <c r="X91" i="21"/>
  <c r="Y91" i="21"/>
  <c r="Z91" i="21"/>
  <c r="AA91" i="21"/>
  <c r="X92" i="21"/>
  <c r="Y92" i="21"/>
  <c r="Z92" i="21"/>
  <c r="AA92" i="21"/>
  <c r="X93" i="21"/>
  <c r="Y93" i="21"/>
  <c r="Z93" i="21"/>
  <c r="AA93" i="21"/>
  <c r="X94" i="21"/>
  <c r="Y94" i="21"/>
  <c r="Z94" i="21"/>
  <c r="AA94" i="21"/>
  <c r="X95" i="21"/>
  <c r="Y95" i="21"/>
  <c r="Z95" i="21"/>
  <c r="AA95" i="21"/>
  <c r="X96" i="21"/>
  <c r="Y96" i="21"/>
  <c r="Z96" i="21"/>
  <c r="AA96" i="21"/>
  <c r="X97" i="21"/>
  <c r="Y97" i="21"/>
  <c r="Z97" i="21"/>
  <c r="AA97" i="21"/>
  <c r="X98" i="21"/>
  <c r="Y98" i="21"/>
  <c r="Z98" i="21"/>
  <c r="AA98" i="21"/>
  <c r="X99" i="21"/>
  <c r="Y99" i="21"/>
  <c r="Z99" i="21"/>
  <c r="AA99" i="21"/>
  <c r="X100" i="21"/>
  <c r="Y100" i="21"/>
  <c r="Z100" i="21"/>
  <c r="AA100" i="21"/>
  <c r="X101" i="21"/>
  <c r="Y101" i="21"/>
  <c r="Z101" i="21"/>
  <c r="AA101" i="21"/>
  <c r="X102" i="21"/>
  <c r="Y102" i="21"/>
  <c r="Z102" i="21"/>
  <c r="AA102" i="21"/>
  <c r="X103" i="21"/>
  <c r="Y103" i="21"/>
  <c r="Z103" i="21"/>
  <c r="AA103" i="21"/>
  <c r="X104" i="21"/>
  <c r="Y104" i="21"/>
  <c r="Z104" i="21"/>
  <c r="AA104" i="21"/>
  <c r="X105" i="21"/>
  <c r="Y105" i="21"/>
  <c r="Z105" i="21"/>
  <c r="AA105" i="21"/>
  <c r="X106" i="21"/>
  <c r="Y106" i="21"/>
  <c r="Z106" i="21"/>
  <c r="AA106" i="21"/>
  <c r="X107" i="21"/>
  <c r="Y107" i="21"/>
  <c r="Z107" i="21"/>
  <c r="AA107" i="21"/>
  <c r="X108" i="21"/>
  <c r="Y108" i="21"/>
  <c r="Z108" i="21"/>
  <c r="AA108" i="21"/>
  <c r="X109" i="21"/>
  <c r="Y109" i="21"/>
  <c r="Z109" i="21"/>
  <c r="AA109" i="21"/>
  <c r="X110" i="21"/>
  <c r="Y110" i="21"/>
  <c r="Z110" i="21"/>
  <c r="AA110" i="21"/>
  <c r="X111" i="21"/>
  <c r="Y111" i="21"/>
  <c r="Z111" i="21"/>
  <c r="AA111" i="21"/>
  <c r="X112" i="21"/>
  <c r="Y112" i="21"/>
  <c r="Z112" i="21"/>
  <c r="AA112" i="21"/>
  <c r="X113" i="21"/>
  <c r="Y113" i="21"/>
  <c r="Z113" i="21"/>
  <c r="AA113" i="21"/>
  <c r="X114" i="21"/>
  <c r="Y114" i="21"/>
  <c r="Z114" i="21"/>
  <c r="AA114" i="21"/>
  <c r="X115" i="21"/>
  <c r="Y115" i="21"/>
  <c r="Z115" i="21"/>
  <c r="AA115" i="21"/>
  <c r="X116" i="21"/>
  <c r="Y116" i="21"/>
  <c r="Z116" i="21"/>
  <c r="AA116" i="21"/>
  <c r="X117" i="21"/>
  <c r="Y117" i="21"/>
  <c r="Z117" i="21"/>
  <c r="AA117" i="21"/>
  <c r="X118" i="21"/>
  <c r="Y118" i="21"/>
  <c r="Z118" i="21"/>
  <c r="AA118" i="21"/>
  <c r="X119" i="21"/>
  <c r="Y119" i="21"/>
  <c r="Z119" i="21"/>
  <c r="AA119" i="21"/>
  <c r="X120" i="21"/>
  <c r="Y120" i="21"/>
  <c r="Z120" i="21"/>
  <c r="AA120" i="21"/>
  <c r="X121" i="21"/>
  <c r="Y121" i="21"/>
  <c r="Z121" i="21"/>
  <c r="AA121" i="21"/>
  <c r="X122" i="21"/>
  <c r="Y122" i="21"/>
  <c r="Z122" i="21"/>
  <c r="AA122" i="21"/>
  <c r="X123" i="21"/>
  <c r="Y123" i="21"/>
  <c r="Z123" i="21"/>
  <c r="AA123" i="21"/>
  <c r="X124" i="21"/>
  <c r="Y124" i="21"/>
  <c r="Z124" i="21"/>
  <c r="AA124" i="21"/>
  <c r="X125" i="21"/>
  <c r="Y125" i="21"/>
  <c r="Z125" i="21"/>
  <c r="AA125" i="21"/>
  <c r="X126" i="21"/>
  <c r="Y126" i="21"/>
  <c r="Z126" i="21"/>
  <c r="AA126" i="21"/>
  <c r="X127" i="21"/>
  <c r="Y127" i="21"/>
  <c r="Z127" i="21"/>
  <c r="AA127" i="21"/>
  <c r="X128" i="21"/>
  <c r="Y128" i="21"/>
  <c r="Z128" i="21"/>
  <c r="AA128" i="21"/>
  <c r="X129" i="21"/>
  <c r="Y129" i="21"/>
  <c r="Z129" i="21"/>
  <c r="AA129" i="21"/>
  <c r="X130" i="21"/>
  <c r="Y130" i="21"/>
  <c r="Z130" i="21"/>
  <c r="AA130" i="21"/>
  <c r="X131" i="21"/>
  <c r="Y131" i="21"/>
  <c r="Z131" i="21"/>
  <c r="AA131" i="21"/>
  <c r="X132" i="21"/>
  <c r="Y132" i="21"/>
  <c r="Z132" i="21"/>
  <c r="AA132" i="21"/>
  <c r="X133" i="21"/>
  <c r="Y133" i="21"/>
  <c r="Z133" i="21"/>
  <c r="AA133" i="21"/>
  <c r="X134" i="21"/>
  <c r="Y134" i="21"/>
  <c r="Z134" i="21"/>
  <c r="AA134" i="21"/>
  <c r="X135" i="21"/>
  <c r="Y135" i="21"/>
  <c r="Z135" i="21"/>
  <c r="AA135" i="21"/>
  <c r="X136" i="21"/>
  <c r="Y136" i="21"/>
  <c r="Z136" i="21"/>
  <c r="AA136" i="21"/>
  <c r="X137" i="21"/>
  <c r="Y137" i="21"/>
  <c r="Z137" i="21"/>
  <c r="AA137" i="21"/>
  <c r="X138" i="21"/>
  <c r="Y138" i="21"/>
  <c r="Z138" i="21"/>
  <c r="AA138" i="21"/>
  <c r="X139" i="21"/>
  <c r="Y139" i="21"/>
  <c r="Z139" i="21"/>
  <c r="AA139" i="21"/>
  <c r="X140" i="21"/>
  <c r="Y140" i="21"/>
  <c r="Z140" i="21"/>
  <c r="AA140" i="21"/>
  <c r="X141" i="21"/>
  <c r="Y141" i="21"/>
  <c r="Z141" i="21"/>
  <c r="AA141" i="21"/>
  <c r="X142" i="21"/>
  <c r="Y142" i="21"/>
  <c r="Z142" i="21"/>
  <c r="AA142" i="21"/>
  <c r="X143" i="21"/>
  <c r="Y143" i="21"/>
  <c r="Z143" i="21"/>
  <c r="AA143" i="21"/>
  <c r="X144" i="21"/>
  <c r="Y144" i="21"/>
  <c r="Z144" i="21"/>
  <c r="AA144" i="21"/>
  <c r="X145" i="21"/>
  <c r="Y145" i="21"/>
  <c r="Z145" i="21"/>
  <c r="AA145" i="21"/>
  <c r="X146" i="21"/>
  <c r="Y146" i="21"/>
  <c r="Z146" i="21"/>
  <c r="AA146" i="21"/>
  <c r="X147" i="21"/>
  <c r="Y147" i="21"/>
  <c r="Z147" i="21"/>
  <c r="AA147" i="21"/>
  <c r="X148" i="21"/>
  <c r="Y148" i="21"/>
  <c r="Z148" i="21"/>
  <c r="AA148" i="21"/>
  <c r="X149" i="21"/>
  <c r="Y149" i="21"/>
  <c r="Z149" i="21"/>
  <c r="AA149" i="21"/>
  <c r="X150" i="21"/>
  <c r="Y150" i="21"/>
  <c r="Z150" i="21"/>
  <c r="AA150" i="21"/>
  <c r="X151" i="21"/>
  <c r="Y151" i="21"/>
  <c r="Z151" i="21"/>
  <c r="AA151" i="21"/>
  <c r="X152" i="21"/>
  <c r="Y152" i="21"/>
  <c r="Z152" i="21"/>
  <c r="AA152" i="21"/>
  <c r="X153" i="21"/>
  <c r="Y153" i="21"/>
  <c r="Z153" i="21"/>
  <c r="AA153" i="21"/>
  <c r="X154" i="21"/>
  <c r="Y154" i="21"/>
  <c r="Z154" i="21"/>
  <c r="AA154" i="21"/>
  <c r="X155" i="21"/>
  <c r="Y155" i="21"/>
  <c r="Z155" i="21"/>
  <c r="AA155" i="21"/>
  <c r="X156" i="21"/>
  <c r="Y156" i="21"/>
  <c r="Z156" i="21"/>
  <c r="AA156" i="21"/>
  <c r="X157" i="21"/>
  <c r="Y157" i="21"/>
  <c r="Z157" i="21"/>
  <c r="AA157" i="21"/>
  <c r="X158" i="21"/>
  <c r="Y158" i="21"/>
  <c r="Z158" i="21"/>
  <c r="AA158" i="21"/>
  <c r="X159" i="21"/>
  <c r="Y159" i="21"/>
  <c r="Z159" i="21"/>
  <c r="AA159" i="21"/>
  <c r="X160" i="21"/>
  <c r="Y160" i="21"/>
  <c r="Z160" i="21"/>
  <c r="AA160" i="21"/>
  <c r="X161" i="21"/>
  <c r="Y161" i="21"/>
  <c r="Z161" i="21"/>
  <c r="AA161" i="21"/>
  <c r="X162" i="21"/>
  <c r="Y162" i="21"/>
  <c r="Z162" i="21"/>
  <c r="AA162" i="21"/>
  <c r="X163" i="21"/>
  <c r="Y163" i="21"/>
  <c r="Z163" i="21"/>
  <c r="AA163" i="21"/>
  <c r="X164" i="21"/>
  <c r="Y164" i="21"/>
  <c r="Z164" i="21"/>
  <c r="AA164" i="21"/>
  <c r="X165" i="21"/>
  <c r="Y165" i="21"/>
  <c r="Z165" i="21"/>
  <c r="AA165" i="21"/>
  <c r="X166" i="21"/>
  <c r="Y166" i="21"/>
  <c r="Z166" i="21"/>
  <c r="AA166" i="21"/>
  <c r="X167" i="21"/>
  <c r="Y167" i="21"/>
  <c r="Z167" i="21"/>
  <c r="AA167" i="21"/>
  <c r="X168" i="21"/>
  <c r="Y168" i="21"/>
  <c r="Z168" i="21"/>
  <c r="AA168" i="21"/>
  <c r="X169" i="21"/>
  <c r="Y169" i="21"/>
  <c r="Z169" i="21"/>
  <c r="AA169" i="21"/>
  <c r="X170" i="21"/>
  <c r="Y170" i="21"/>
  <c r="Z170" i="21"/>
  <c r="AA170" i="21"/>
  <c r="X171" i="21"/>
  <c r="Y171" i="21"/>
  <c r="Z171" i="21"/>
  <c r="AA171" i="21"/>
  <c r="X172" i="21"/>
  <c r="Y172" i="21"/>
  <c r="Z172" i="21"/>
  <c r="AA172" i="21"/>
  <c r="X173" i="21"/>
  <c r="Y173" i="21"/>
  <c r="Z173" i="21"/>
  <c r="AA173" i="21"/>
  <c r="X174" i="21"/>
  <c r="Y174" i="21"/>
  <c r="Z174" i="21"/>
  <c r="AA174" i="21"/>
  <c r="X175" i="21"/>
  <c r="Y175" i="21"/>
  <c r="Z175" i="21"/>
  <c r="AA175" i="21"/>
  <c r="X176" i="21"/>
  <c r="Y176" i="21"/>
  <c r="Z176" i="21"/>
  <c r="AA176" i="21"/>
  <c r="X177" i="21"/>
  <c r="Y177" i="21"/>
  <c r="Z177" i="21"/>
  <c r="AA177" i="21"/>
  <c r="X178" i="21"/>
  <c r="Y178" i="21"/>
  <c r="Z178" i="21"/>
  <c r="AA178" i="21"/>
  <c r="X179" i="21"/>
  <c r="Y179" i="21"/>
  <c r="Z179" i="21"/>
  <c r="AA179" i="21"/>
  <c r="X180" i="21"/>
  <c r="Y180" i="21"/>
  <c r="Z180" i="21"/>
  <c r="AA180" i="21"/>
  <c r="X181" i="21"/>
  <c r="Y181" i="21"/>
  <c r="Z181" i="21"/>
  <c r="AA181" i="21"/>
  <c r="X182" i="21"/>
  <c r="Y182" i="21"/>
  <c r="Z182" i="21"/>
  <c r="AA182" i="21"/>
  <c r="X183" i="21"/>
  <c r="Y183" i="21"/>
  <c r="Z183" i="21"/>
  <c r="AA183" i="21"/>
  <c r="X184" i="21"/>
  <c r="Y184" i="21"/>
  <c r="Z184" i="21"/>
  <c r="AA184" i="21"/>
  <c r="X185" i="21"/>
  <c r="Y185" i="21"/>
  <c r="Z185" i="21"/>
  <c r="AA185" i="21"/>
  <c r="X186" i="21"/>
  <c r="Y186" i="21"/>
  <c r="Z186" i="21"/>
  <c r="AA186" i="21"/>
  <c r="X187" i="21"/>
  <c r="Y187" i="21"/>
  <c r="Z187" i="21"/>
  <c r="AA187" i="21"/>
  <c r="X188" i="21"/>
  <c r="Y188" i="21"/>
  <c r="Z188" i="21"/>
  <c r="AA188" i="21"/>
  <c r="X189" i="21"/>
  <c r="Y189" i="21"/>
  <c r="Z189" i="21"/>
  <c r="AA189" i="21"/>
  <c r="X190" i="21"/>
  <c r="Y190" i="21"/>
  <c r="Z190" i="21"/>
  <c r="AA190" i="21"/>
  <c r="X191" i="21"/>
  <c r="Y191" i="21"/>
  <c r="Z191" i="21"/>
  <c r="AA191" i="21"/>
  <c r="X192" i="21"/>
  <c r="Y192" i="21"/>
  <c r="Z192" i="21"/>
  <c r="AA192" i="21"/>
  <c r="X193" i="21"/>
  <c r="Y193" i="21"/>
  <c r="Z193" i="21"/>
  <c r="AA193" i="21"/>
  <c r="X194" i="21"/>
  <c r="Y194" i="21"/>
  <c r="Z194" i="21"/>
  <c r="AA194" i="21"/>
  <c r="X195" i="21"/>
  <c r="Y195" i="21"/>
  <c r="Z195" i="21"/>
  <c r="AA195" i="21"/>
  <c r="X196" i="21"/>
  <c r="Y196" i="21"/>
  <c r="Z196" i="21"/>
  <c r="AA196" i="21"/>
  <c r="X197" i="21"/>
  <c r="Y197" i="21"/>
  <c r="Z197" i="21"/>
  <c r="AA197" i="21"/>
  <c r="X198" i="21"/>
  <c r="Y198" i="21"/>
  <c r="Z198" i="21"/>
  <c r="AA198" i="21"/>
  <c r="X199" i="21"/>
  <c r="Y199" i="21"/>
  <c r="Z199" i="21"/>
  <c r="AA199" i="21"/>
  <c r="X200" i="21"/>
  <c r="Y200" i="21"/>
  <c r="Z200" i="21"/>
  <c r="AA200" i="21"/>
  <c r="X201" i="21"/>
  <c r="Y201" i="21"/>
  <c r="Z201" i="21"/>
  <c r="AA201" i="21"/>
  <c r="X202" i="21"/>
  <c r="Y202" i="21"/>
  <c r="Z202" i="21"/>
  <c r="AA202" i="21"/>
  <c r="X203" i="21"/>
  <c r="Y203" i="21"/>
  <c r="Z203" i="21"/>
  <c r="AA203" i="21"/>
  <c r="X204" i="21"/>
  <c r="Y204" i="21"/>
  <c r="Z204" i="21"/>
  <c r="AA204" i="21"/>
  <c r="X205" i="21"/>
  <c r="Y205" i="21"/>
  <c r="Z205" i="21"/>
  <c r="AA205" i="21"/>
  <c r="X206" i="21"/>
  <c r="Y206" i="21"/>
  <c r="Z206" i="21"/>
  <c r="AA206" i="21"/>
  <c r="X207" i="21"/>
  <c r="Y207" i="21"/>
  <c r="Z207" i="21"/>
  <c r="AA207" i="21"/>
  <c r="X208" i="21"/>
  <c r="Y208" i="21"/>
  <c r="Z208" i="21"/>
  <c r="AA208" i="21"/>
  <c r="X209" i="21"/>
  <c r="Y209" i="21"/>
  <c r="Z209" i="21"/>
  <c r="AA209" i="21"/>
  <c r="X210" i="21"/>
  <c r="Y210" i="21"/>
  <c r="Z210" i="21"/>
  <c r="AA210" i="21"/>
  <c r="X211" i="21"/>
  <c r="Y211" i="21"/>
  <c r="Z211" i="21"/>
  <c r="AA211" i="21"/>
  <c r="X212" i="21"/>
  <c r="Y212" i="21"/>
  <c r="Z212" i="21"/>
  <c r="AA212" i="21"/>
  <c r="X213" i="21"/>
  <c r="Y213" i="21"/>
  <c r="Z213" i="21"/>
  <c r="AA213" i="21"/>
  <c r="X214" i="21"/>
  <c r="Y214" i="21"/>
  <c r="Z214" i="21"/>
  <c r="AA214" i="21"/>
  <c r="X215" i="21"/>
  <c r="Y215" i="21"/>
  <c r="Z215" i="21"/>
  <c r="AA215" i="21"/>
  <c r="X216" i="21"/>
  <c r="Y216" i="21"/>
  <c r="Z216" i="21"/>
  <c r="AA216" i="21"/>
  <c r="X217" i="21"/>
  <c r="Y217" i="21"/>
  <c r="Z217" i="21"/>
  <c r="AA217" i="21"/>
  <c r="X218" i="21"/>
  <c r="Y218" i="21"/>
  <c r="Z218" i="21"/>
  <c r="AA218" i="21"/>
  <c r="X219" i="21"/>
  <c r="Y219" i="21"/>
  <c r="Z219" i="21"/>
  <c r="AA219" i="21"/>
  <c r="X220" i="21"/>
  <c r="Y220" i="21"/>
  <c r="Z220" i="21"/>
  <c r="AA220" i="21"/>
  <c r="X221" i="21"/>
  <c r="Y221" i="21"/>
  <c r="Z221" i="21"/>
  <c r="AA221" i="21"/>
  <c r="X222" i="21"/>
  <c r="Y222" i="21"/>
  <c r="Z222" i="21"/>
  <c r="AA222" i="21"/>
  <c r="X223" i="21"/>
  <c r="Y223" i="21"/>
  <c r="Z223" i="21"/>
  <c r="AA223" i="21"/>
  <c r="X224" i="21"/>
  <c r="Y224" i="21"/>
  <c r="Z224" i="21"/>
  <c r="AA224" i="21"/>
  <c r="X225" i="21"/>
  <c r="Y225" i="21"/>
  <c r="Z225" i="21"/>
  <c r="AA225" i="21"/>
  <c r="X226" i="21"/>
  <c r="Y226" i="21"/>
  <c r="Z226" i="21"/>
  <c r="AA226" i="21"/>
  <c r="X227" i="21"/>
  <c r="Y227" i="21"/>
  <c r="Z227" i="21"/>
  <c r="AA227" i="21"/>
  <c r="X228" i="21"/>
  <c r="Y228" i="21"/>
  <c r="Z228" i="21"/>
  <c r="AA228" i="21"/>
  <c r="X229" i="21"/>
  <c r="Y229" i="21"/>
  <c r="Z229" i="21"/>
  <c r="AA229" i="21"/>
  <c r="X230" i="21"/>
  <c r="Y230" i="21"/>
  <c r="Z230" i="21"/>
  <c r="AA230" i="21"/>
  <c r="X231" i="21"/>
  <c r="Y231" i="21"/>
  <c r="Z231" i="21"/>
  <c r="AA231" i="21"/>
  <c r="X232" i="21"/>
  <c r="Y232" i="21"/>
  <c r="Z232" i="21"/>
  <c r="AA232" i="21"/>
  <c r="X233" i="21"/>
  <c r="Y233" i="21"/>
  <c r="Z233" i="21"/>
  <c r="AA233" i="21"/>
  <c r="X234" i="21"/>
  <c r="Y234" i="21"/>
  <c r="Z234" i="21"/>
  <c r="AA234" i="21"/>
  <c r="X235" i="21"/>
  <c r="Y235" i="21"/>
  <c r="Z235" i="21"/>
  <c r="AA235" i="21"/>
  <c r="X236" i="21"/>
  <c r="Y236" i="21"/>
  <c r="Z236" i="21"/>
  <c r="AA236" i="21"/>
  <c r="X237" i="21"/>
  <c r="Y237" i="21"/>
  <c r="Z237" i="21"/>
  <c r="AA237" i="21"/>
  <c r="X238" i="21"/>
  <c r="Y238" i="21"/>
  <c r="Z238" i="21"/>
  <c r="AA238" i="21"/>
  <c r="X239" i="21"/>
  <c r="Y239" i="21"/>
  <c r="Z239" i="21"/>
  <c r="AA239" i="21"/>
  <c r="X240" i="21"/>
  <c r="Y240" i="21"/>
  <c r="Z240" i="21"/>
  <c r="AA240" i="21"/>
  <c r="X241" i="21"/>
  <c r="Y241" i="21"/>
  <c r="Z241" i="21"/>
  <c r="AA241" i="21"/>
  <c r="X242" i="21"/>
  <c r="Y242" i="21"/>
  <c r="Z242" i="21"/>
  <c r="AA242" i="21"/>
  <c r="X243" i="21"/>
  <c r="Y243" i="21"/>
  <c r="Z243" i="21"/>
  <c r="AA243" i="21"/>
  <c r="X244" i="21"/>
  <c r="Y244" i="21"/>
  <c r="Z244" i="21"/>
  <c r="AA244" i="21"/>
  <c r="X245" i="21"/>
  <c r="Y245" i="21"/>
  <c r="Z245" i="21"/>
  <c r="AA245" i="21"/>
  <c r="X246" i="21"/>
  <c r="Y246" i="21"/>
  <c r="Z246" i="21"/>
  <c r="AA246" i="21"/>
  <c r="X247" i="21"/>
  <c r="Y247" i="21"/>
  <c r="Z247" i="21"/>
  <c r="AA247" i="21"/>
  <c r="X248" i="21"/>
  <c r="Y248" i="21"/>
  <c r="Z248" i="21"/>
  <c r="AA248" i="21"/>
  <c r="X249" i="21"/>
  <c r="Y249" i="21"/>
  <c r="Z249" i="21"/>
  <c r="AA249" i="21"/>
  <c r="X250" i="21"/>
  <c r="Y250" i="21"/>
  <c r="Z250" i="21"/>
  <c r="AA250" i="21"/>
  <c r="X251" i="21"/>
  <c r="Y251" i="21"/>
  <c r="Z251" i="21"/>
  <c r="AA251" i="21"/>
  <c r="X252" i="21"/>
  <c r="Y252" i="21"/>
  <c r="Z252" i="21"/>
  <c r="AA252" i="21"/>
  <c r="X253" i="21"/>
  <c r="Y253" i="21"/>
  <c r="Z253" i="21"/>
  <c r="AA253" i="21"/>
  <c r="X254" i="21"/>
  <c r="Y254" i="21"/>
  <c r="Z254" i="21"/>
  <c r="AA254" i="21"/>
  <c r="X255" i="21"/>
  <c r="Y255" i="21"/>
  <c r="Z255" i="21"/>
  <c r="AA255" i="21"/>
  <c r="X256" i="21"/>
  <c r="Y256" i="21"/>
  <c r="Z256" i="21"/>
  <c r="AA256" i="21"/>
  <c r="X257" i="21"/>
  <c r="Y257" i="21"/>
  <c r="Z257" i="21"/>
  <c r="AA257" i="21"/>
  <c r="X258" i="21"/>
  <c r="Y258" i="21"/>
  <c r="Z258" i="21"/>
  <c r="AA258" i="21"/>
  <c r="X259" i="21"/>
  <c r="Y259" i="21"/>
  <c r="Z259" i="21"/>
  <c r="AA259" i="21"/>
  <c r="X260" i="21"/>
  <c r="Y260" i="21"/>
  <c r="Z260" i="21"/>
  <c r="AA260" i="21"/>
  <c r="X261" i="21"/>
  <c r="Y261" i="21"/>
  <c r="Z261" i="21"/>
  <c r="AA261" i="21"/>
  <c r="X262" i="21"/>
  <c r="Y262" i="21"/>
  <c r="Z262" i="21"/>
  <c r="AA262" i="21"/>
  <c r="X263" i="21"/>
  <c r="Y263" i="21"/>
  <c r="Z263" i="21"/>
  <c r="AA263" i="21"/>
  <c r="X264" i="21"/>
  <c r="Y264" i="21"/>
  <c r="Z264" i="21"/>
  <c r="AA264" i="21"/>
  <c r="X265" i="21"/>
  <c r="Y265" i="21"/>
  <c r="Z265" i="21"/>
  <c r="AA265" i="21"/>
  <c r="Y3" i="21"/>
  <c r="Z3" i="21"/>
  <c r="AA3" i="21"/>
  <c r="X3" i="21"/>
  <c r="F451" i="1"/>
  <c r="H19" i="3"/>
  <c r="H20" i="3"/>
  <c r="H21" i="3"/>
  <c r="E24" i="9"/>
  <c r="F24" i="9"/>
  <c r="E21" i="9"/>
  <c r="F21" i="9"/>
  <c r="E22" i="9"/>
  <c r="F22" i="9"/>
  <c r="F38" i="9"/>
  <c r="F39" i="9"/>
  <c r="F40" i="9"/>
  <c r="F41" i="9"/>
  <c r="E38" i="9"/>
  <c r="E39" i="9"/>
  <c r="E40" i="9"/>
  <c r="E41" i="9"/>
  <c r="E55" i="9"/>
  <c r="F55" i="9"/>
  <c r="E56" i="9"/>
  <c r="F56" i="9"/>
  <c r="E57" i="9"/>
  <c r="F57" i="9"/>
  <c r="E58" i="9"/>
  <c r="F58" i="9"/>
  <c r="E72" i="9"/>
  <c r="F72" i="9"/>
  <c r="E73" i="9"/>
  <c r="F73" i="9"/>
  <c r="E74" i="9"/>
  <c r="F74" i="9"/>
  <c r="E75" i="9"/>
  <c r="F75" i="9"/>
  <c r="E89" i="9"/>
  <c r="F89" i="9"/>
  <c r="E90" i="9"/>
  <c r="F90" i="9"/>
  <c r="E91" i="9"/>
  <c r="F91" i="9"/>
  <c r="E92" i="9"/>
  <c r="F92" i="9"/>
  <c r="E106" i="9"/>
  <c r="F106" i="9"/>
  <c r="E107" i="9"/>
  <c r="F107" i="9"/>
  <c r="E108" i="9"/>
  <c r="F108" i="9"/>
  <c r="E109" i="9"/>
  <c r="F109" i="9"/>
  <c r="D106" i="9"/>
  <c r="AE179" i="10" a="1"/>
  <c r="AE179" i="10" s="1"/>
  <c r="D89" i="9"/>
  <c r="Y154" i="10" a="1"/>
  <c r="Y154" i="10" s="1"/>
  <c r="D72" i="9"/>
  <c r="S118" i="10" a="1"/>
  <c r="S118" i="10" s="1"/>
  <c r="D55" i="9"/>
  <c r="M166" i="10" a="1"/>
  <c r="M166" i="10" s="1"/>
  <c r="A61" i="10" a="1"/>
  <c r="A61" i="10" s="1"/>
  <c r="D38" i="9"/>
  <c r="G38" i="9" s="1"/>
  <c r="L38" i="9" s="1"/>
  <c r="G130" i="10" a="1"/>
  <c r="G130" i="10" s="1"/>
  <c r="G139" i="10" a="1"/>
  <c r="G139" i="10" s="1"/>
  <c r="D21" i="9"/>
  <c r="G21" i="9" s="1"/>
  <c r="L21" i="9" s="1"/>
  <c r="A53" i="10" a="1"/>
  <c r="A53" i="10" s="1"/>
  <c r="D107" i="9"/>
  <c r="AE168" i="10" a="1"/>
  <c r="AE168" i="10" s="1"/>
  <c r="D90" i="9"/>
  <c r="Y145" i="10" a="1"/>
  <c r="Y145" i="10" s="1"/>
  <c r="D73" i="9"/>
  <c r="S109" i="10" a="1"/>
  <c r="S109" i="10" s="1"/>
  <c r="D56" i="9"/>
  <c r="M157" i="10" a="1"/>
  <c r="M157" i="10" s="1"/>
  <c r="D39" i="9"/>
  <c r="D22" i="9"/>
  <c r="D108" i="9"/>
  <c r="G108" i="9" s="1"/>
  <c r="L108" i="9" s="1"/>
  <c r="AE147" i="10" a="1"/>
  <c r="AE147" i="10" s="1"/>
  <c r="D40" i="9"/>
  <c r="D91" i="9"/>
  <c r="Y124" i="10" a="1"/>
  <c r="Y124" i="10" s="1"/>
  <c r="D74" i="9"/>
  <c r="S97" i="10" a="1"/>
  <c r="S97" i="10" s="1"/>
  <c r="D57" i="9"/>
  <c r="M144" i="10" a="1"/>
  <c r="M144" i="10" s="1"/>
  <c r="G122" i="10" a="1"/>
  <c r="G122" i="10" s="1"/>
  <c r="A51" i="10" a="1"/>
  <c r="A51" i="10" s="1"/>
  <c r="A2" i="10" a="1"/>
  <c r="A2" i="10" s="1"/>
  <c r="D109" i="9"/>
  <c r="AE94" i="10" a="1"/>
  <c r="AE94" i="10" s="1"/>
  <c r="D92" i="9"/>
  <c r="Y82" i="10" a="1"/>
  <c r="Y82" i="10" s="1"/>
  <c r="D75" i="9"/>
  <c r="S63" i="10" a="1"/>
  <c r="S63" i="10" s="1"/>
  <c r="D58" i="9"/>
  <c r="M87" i="10" a="1"/>
  <c r="M87" i="10" s="1"/>
  <c r="D41" i="9"/>
  <c r="G74" i="10" a="1"/>
  <c r="G74" i="10" s="1"/>
  <c r="D24" i="9"/>
  <c r="A40" i="10" a="1"/>
  <c r="A40" i="10" s="1"/>
  <c r="I109" i="9"/>
  <c r="I110" i="9" s="1"/>
  <c r="H109" i="9"/>
  <c r="I92" i="9"/>
  <c r="I95" i="9" s="1"/>
  <c r="I97" i="9" s="1"/>
  <c r="I99" i="9" s="1"/>
  <c r="H92" i="9"/>
  <c r="H94" i="9" s="1"/>
  <c r="H96" i="9" s="1"/>
  <c r="I75" i="9"/>
  <c r="I78" i="9" s="1"/>
  <c r="I80" i="9" s="1"/>
  <c r="I82" i="9" s="1"/>
  <c r="H75" i="9"/>
  <c r="H78" i="9" s="1"/>
  <c r="H80" i="9" s="1"/>
  <c r="I58" i="9"/>
  <c r="I59" i="9" s="1"/>
  <c r="H58" i="9"/>
  <c r="I41" i="9"/>
  <c r="I42" i="9" s="1"/>
  <c r="H41" i="9"/>
  <c r="I24" i="9"/>
  <c r="I26" i="9" s="1"/>
  <c r="I28" i="9" s="1"/>
  <c r="H24" i="9"/>
  <c r="I8" i="9"/>
  <c r="I9" i="9" s="1"/>
  <c r="H8" i="9"/>
  <c r="H10" i="9" s="1"/>
  <c r="L4" i="8"/>
  <c r="E25" i="9"/>
  <c r="G23" i="9"/>
  <c r="L23" i="9" s="1"/>
  <c r="G7" i="9"/>
  <c r="L7" i="9" s="1"/>
  <c r="G6" i="9"/>
  <c r="M6" i="9" s="1"/>
  <c r="J6" i="9"/>
  <c r="E5" i="9"/>
  <c r="F5" i="9"/>
  <c r="E8" i="9"/>
  <c r="F8" i="9"/>
  <c r="D8" i="9"/>
  <c r="D5" i="9"/>
  <c r="E44" i="9" l="1"/>
  <c r="E46" i="9" s="1"/>
  <c r="E43" i="9"/>
  <c r="E45" i="9" s="1"/>
  <c r="E47" i="9" s="1"/>
  <c r="F25" i="9"/>
  <c r="G58" i="9"/>
  <c r="L58" i="9" s="1"/>
  <c r="G107" i="9"/>
  <c r="L107" i="9" s="1"/>
  <c r="G92" i="9"/>
  <c r="L92" i="9" s="1"/>
  <c r="I11" i="9"/>
  <c r="I13" i="9" s="1"/>
  <c r="I15" i="9" s="1"/>
  <c r="E111" i="9"/>
  <c r="E113" i="9" s="1"/>
  <c r="E115" i="9" s="1"/>
  <c r="I10" i="9"/>
  <c r="I12" i="9" s="1"/>
  <c r="I14" i="9" s="1"/>
  <c r="G41" i="9"/>
  <c r="M41" i="9" s="1"/>
  <c r="D94" i="9"/>
  <c r="D96" i="9" s="1"/>
  <c r="D98" i="9" s="1"/>
  <c r="G91" i="9"/>
  <c r="L91" i="9" s="1"/>
  <c r="F42" i="9"/>
  <c r="D111" i="9"/>
  <c r="D113" i="9" s="1"/>
  <c r="D115" i="9" s="1"/>
  <c r="I111" i="9"/>
  <c r="I113" i="9" s="1"/>
  <c r="I115" i="9" s="1"/>
  <c r="D11" i="9"/>
  <c r="D13" i="9" s="1"/>
  <c r="D15" i="9" s="1"/>
  <c r="G40" i="9"/>
  <c r="M40" i="9" s="1"/>
  <c r="G109" i="9"/>
  <c r="K109" i="9" s="1"/>
  <c r="E93" i="9"/>
  <c r="G56" i="9"/>
  <c r="K56" i="9" s="1"/>
  <c r="D95" i="9"/>
  <c r="D97" i="9" s="1"/>
  <c r="D99" i="9" s="1"/>
  <c r="I94" i="9"/>
  <c r="I96" i="9" s="1"/>
  <c r="I98" i="9" s="1"/>
  <c r="I43" i="9"/>
  <c r="I45" i="9" s="1"/>
  <c r="I47" i="9" s="1"/>
  <c r="F11" i="9"/>
  <c r="F13" i="9" s="1"/>
  <c r="F15" i="9" s="1"/>
  <c r="D110" i="9"/>
  <c r="E11" i="9"/>
  <c r="E13" i="9" s="1"/>
  <c r="E15" i="9" s="1"/>
  <c r="F93" i="9"/>
  <c r="E95" i="9"/>
  <c r="E97" i="9" s="1"/>
  <c r="E99" i="9" s="1"/>
  <c r="E26" i="9"/>
  <c r="E28" i="9" s="1"/>
  <c r="E30" i="9" s="1"/>
  <c r="I60" i="9"/>
  <c r="I62" i="9" s="1"/>
  <c r="I64" i="9" s="1"/>
  <c r="E61" i="9"/>
  <c r="E63" i="9" s="1"/>
  <c r="E65" i="9" s="1"/>
  <c r="I61" i="9"/>
  <c r="I63" i="9" s="1"/>
  <c r="I65" i="9" s="1"/>
  <c r="G22" i="9"/>
  <c r="L22" i="9" s="1"/>
  <c r="L26" i="9" s="1"/>
  <c r="L28" i="9" s="1"/>
  <c r="L30" i="9" s="1"/>
  <c r="M7" i="9"/>
  <c r="D112" i="9"/>
  <c r="D114" i="9" s="1"/>
  <c r="D116" i="9" s="1"/>
  <c r="G106" i="9"/>
  <c r="J106" i="9" s="1"/>
  <c r="F78" i="9"/>
  <c r="F80" i="9" s="1"/>
  <c r="F82" i="9" s="1"/>
  <c r="D93" i="9"/>
  <c r="K7" i="9"/>
  <c r="D27" i="9"/>
  <c r="D29" i="9" s="1"/>
  <c r="D31" i="9" s="1"/>
  <c r="D76" i="9"/>
  <c r="E76" i="9"/>
  <c r="F43" i="9"/>
  <c r="F45" i="9" s="1"/>
  <c r="F47" i="9" s="1"/>
  <c r="E78" i="9"/>
  <c r="E80" i="9" s="1"/>
  <c r="E82" i="9" s="1"/>
  <c r="J7" i="9"/>
  <c r="G8" i="9"/>
  <c r="L8" i="9" s="1"/>
  <c r="F94" i="9"/>
  <c r="F96" i="9" s="1"/>
  <c r="F98" i="9" s="1"/>
  <c r="F61" i="9"/>
  <c r="F63" i="9" s="1"/>
  <c r="F65" i="9" s="1"/>
  <c r="I77" i="9"/>
  <c r="I79" i="9" s="1"/>
  <c r="I81" i="9" s="1"/>
  <c r="D78" i="9"/>
  <c r="D80" i="9" s="1"/>
  <c r="D82" i="9" s="1"/>
  <c r="D60" i="9"/>
  <c r="D62" i="9" s="1"/>
  <c r="D64" i="9" s="1"/>
  <c r="F26" i="9"/>
  <c r="F28" i="9" s="1"/>
  <c r="F30" i="9" s="1"/>
  <c r="H77" i="9"/>
  <c r="H79" i="9" s="1"/>
  <c r="H81" i="9" s="1"/>
  <c r="F44" i="9"/>
  <c r="F46" i="9" s="1"/>
  <c r="F48" i="9" s="1"/>
  <c r="G72" i="9"/>
  <c r="K72" i="9" s="1"/>
  <c r="G73" i="9"/>
  <c r="J73" i="9" s="1"/>
  <c r="E27" i="9"/>
  <c r="E29" i="9" s="1"/>
  <c r="E31" i="9" s="1"/>
  <c r="F111" i="9"/>
  <c r="F113" i="9" s="1"/>
  <c r="F27" i="9"/>
  <c r="F29" i="9" s="1"/>
  <c r="F31" i="9" s="1"/>
  <c r="F77" i="9"/>
  <c r="F79" i="9" s="1"/>
  <c r="E77" i="9"/>
  <c r="E79" i="9" s="1"/>
  <c r="I25" i="9"/>
  <c r="E60" i="9"/>
  <c r="E62" i="9" s="1"/>
  <c r="E64" i="9" s="1"/>
  <c r="I76" i="9"/>
  <c r="F60" i="9"/>
  <c r="F62" i="9" s="1"/>
  <c r="F64" i="9" s="1"/>
  <c r="F112" i="9"/>
  <c r="F114" i="9" s="1"/>
  <c r="F116" i="9" s="1"/>
  <c r="F110" i="9"/>
  <c r="D43" i="9"/>
  <c r="D45" i="9" s="1"/>
  <c r="D47" i="9" s="1"/>
  <c r="D49" i="9" s="1" a="1"/>
  <c r="D49" i="9" s="1"/>
  <c r="D50" i="9" s="1"/>
  <c r="E42" i="9"/>
  <c r="K21" i="9"/>
  <c r="I93" i="9"/>
  <c r="F76" i="9"/>
  <c r="E94" i="9"/>
  <c r="E96" i="9" s="1"/>
  <c r="E98" i="9" s="1"/>
  <c r="E112" i="9"/>
  <c r="E114" i="9" s="1"/>
  <c r="E116" i="9" s="1"/>
  <c r="E110" i="9"/>
  <c r="F95" i="9"/>
  <c r="F97" i="9" s="1"/>
  <c r="F99" i="9" s="1"/>
  <c r="D77" i="9"/>
  <c r="D79" i="9" s="1"/>
  <c r="D81" i="9" s="1"/>
  <c r="G75" i="9"/>
  <c r="L75" i="9" s="1"/>
  <c r="K38" i="9"/>
  <c r="H82" i="9"/>
  <c r="H95" i="9"/>
  <c r="H97" i="9" s="1"/>
  <c r="H99" i="9" s="1"/>
  <c r="H98" i="9"/>
  <c r="L27" i="9"/>
  <c r="L29" i="9" s="1"/>
  <c r="F59" i="9"/>
  <c r="E59" i="9"/>
  <c r="G55" i="9"/>
  <c r="K55" i="9" s="1"/>
  <c r="G74" i="9"/>
  <c r="J74" i="9" s="1"/>
  <c r="G89" i="9"/>
  <c r="L89" i="9" s="1"/>
  <c r="J38" i="9"/>
  <c r="D44" i="9"/>
  <c r="D46" i="9" s="1"/>
  <c r="D48" i="9" s="1"/>
  <c r="G39" i="9"/>
  <c r="K39" i="9" s="1"/>
  <c r="D42" i="9"/>
  <c r="M38" i="9"/>
  <c r="J21" i="9"/>
  <c r="G90" i="9"/>
  <c r="M107" i="9"/>
  <c r="G111" i="9"/>
  <c r="G113" i="9" s="1"/>
  <c r="G115" i="9" s="1"/>
  <c r="K108" i="9"/>
  <c r="M108" i="9"/>
  <c r="J108" i="9"/>
  <c r="J40" i="9"/>
  <c r="D61" i="9"/>
  <c r="D63" i="9" s="1"/>
  <c r="D65" i="9" s="1"/>
  <c r="G57" i="9"/>
  <c r="K57" i="9" s="1"/>
  <c r="D59" i="9"/>
  <c r="J23" i="9"/>
  <c r="M23" i="9"/>
  <c r="K23" i="9"/>
  <c r="G5" i="9"/>
  <c r="J5" i="9" s="1"/>
  <c r="F9" i="9"/>
  <c r="D10" i="9"/>
  <c r="D12" i="9" s="1"/>
  <c r="D14" i="9" s="1"/>
  <c r="E9" i="9"/>
  <c r="D26" i="9"/>
  <c r="D28" i="9" s="1"/>
  <c r="D30" i="9" s="1"/>
  <c r="D25" i="9"/>
  <c r="G24" i="9"/>
  <c r="M21" i="9"/>
  <c r="K107" i="9"/>
  <c r="L6" i="9"/>
  <c r="K6" i="9"/>
  <c r="K8" i="9"/>
  <c r="M8" i="9"/>
  <c r="F10" i="9"/>
  <c r="F12" i="9" s="1"/>
  <c r="F14" i="9" s="1"/>
  <c r="E10" i="9"/>
  <c r="E12" i="9" s="1"/>
  <c r="E14" i="9" s="1"/>
  <c r="D9" i="9"/>
  <c r="I112" i="9"/>
  <c r="I114" i="9" s="1"/>
  <c r="I116" i="9" s="1"/>
  <c r="E48" i="9"/>
  <c r="E49" i="9" s="1" a="1"/>
  <c r="E49" i="9" s="1"/>
  <c r="E50" i="9" s="1"/>
  <c r="I44" i="9"/>
  <c r="I46" i="9" s="1"/>
  <c r="I48" i="9" s="1"/>
  <c r="I30" i="9"/>
  <c r="I27" i="9"/>
  <c r="I29" i="9" s="1"/>
  <c r="I31" i="9" s="1"/>
  <c r="J107" i="9" l="1"/>
  <c r="K91" i="9"/>
  <c r="M106" i="9"/>
  <c r="M92" i="9"/>
  <c r="K92" i="9"/>
  <c r="L41" i="9"/>
  <c r="M91" i="9"/>
  <c r="K41" i="9"/>
  <c r="K58" i="9"/>
  <c r="K60" i="9" s="1"/>
  <c r="K62" i="9" s="1"/>
  <c r="K64" i="9" s="1"/>
  <c r="M58" i="9"/>
  <c r="I66" i="9" a="1"/>
  <c r="I66" i="9" s="1"/>
  <c r="I67" i="9" s="1"/>
  <c r="I100" i="9" a="1"/>
  <c r="I100" i="9" s="1"/>
  <c r="I101" i="9" s="1"/>
  <c r="G27" i="9"/>
  <c r="G29" i="9" s="1"/>
  <c r="G31" i="9" s="1"/>
  <c r="G110" i="9"/>
  <c r="L109" i="9"/>
  <c r="M72" i="9"/>
  <c r="G112" i="9"/>
  <c r="G114" i="9" s="1"/>
  <c r="G116" i="9" s="1"/>
  <c r="K106" i="9"/>
  <c r="K111" i="9" s="1"/>
  <c r="K113" i="9" s="1"/>
  <c r="K115" i="9" s="1"/>
  <c r="F66" i="9" a="1"/>
  <c r="F66" i="9" s="1"/>
  <c r="F67" i="9" s="1"/>
  <c r="M22" i="9"/>
  <c r="K22" i="9"/>
  <c r="K26" i="9" s="1"/>
  <c r="K28" i="9" s="1"/>
  <c r="K30" i="9" s="1"/>
  <c r="L73" i="9"/>
  <c r="F100" i="9" a="1"/>
  <c r="F100" i="9" s="1"/>
  <c r="F101" i="9" s="1"/>
  <c r="K89" i="9"/>
  <c r="D117" i="9" a="1"/>
  <c r="D117" i="9" s="1"/>
  <c r="D118" i="9" s="1"/>
  <c r="K73" i="9"/>
  <c r="L56" i="9"/>
  <c r="J89" i="9"/>
  <c r="M56" i="9"/>
  <c r="J72" i="9"/>
  <c r="J91" i="9"/>
  <c r="L40" i="9"/>
  <c r="J56" i="9"/>
  <c r="M109" i="9"/>
  <c r="M112" i="9" s="1"/>
  <c r="M114" i="9" s="1"/>
  <c r="M116" i="9" s="1"/>
  <c r="J22" i="9"/>
  <c r="I16" i="9" a="1"/>
  <c r="I16" i="9" s="1"/>
  <c r="I17" i="9" s="1"/>
  <c r="M89" i="9"/>
  <c r="K40" i="9"/>
  <c r="D100" i="9" a="1"/>
  <c r="D100" i="9" s="1"/>
  <c r="D101" i="9" s="1"/>
  <c r="E100" i="9" a="1"/>
  <c r="E100" i="9" s="1"/>
  <c r="E101" i="9" s="1"/>
  <c r="D32" i="9" a="1"/>
  <c r="D32" i="9" s="1"/>
  <c r="D33" i="9" s="1"/>
  <c r="L106" i="9"/>
  <c r="E66" i="9" a="1"/>
  <c r="E66" i="9" s="1"/>
  <c r="E67" i="9" s="1"/>
  <c r="J39" i="9"/>
  <c r="I83" i="9" a="1"/>
  <c r="I83" i="9" s="1"/>
  <c r="I84" i="9" s="1"/>
  <c r="E81" i="9"/>
  <c r="E83" i="9" s="1" a="1"/>
  <c r="E83" i="9" s="1"/>
  <c r="E84" i="9" s="1"/>
  <c r="F81" i="9"/>
  <c r="F83" i="9" a="1"/>
  <c r="F83" i="9" s="1"/>
  <c r="F84" i="9" s="1"/>
  <c r="F115" i="9"/>
  <c r="F117" i="9" s="1" a="1"/>
  <c r="F117" i="9" s="1"/>
  <c r="F118" i="9" s="1"/>
  <c r="F49" i="9" a="1"/>
  <c r="F49" i="9" s="1"/>
  <c r="F50" i="9" s="1"/>
  <c r="L74" i="9"/>
  <c r="G44" i="9"/>
  <c r="G46" i="9" s="1"/>
  <c r="G48" i="9" s="1"/>
  <c r="M74" i="9"/>
  <c r="D83" i="9" a="1"/>
  <c r="D83" i="9" s="1"/>
  <c r="D84" i="9" s="1"/>
  <c r="K74" i="9"/>
  <c r="L5" i="9"/>
  <c r="L11" i="9" s="1"/>
  <c r="L13" i="9" s="1"/>
  <c r="L15" i="9" s="1"/>
  <c r="E32" i="9" a="1"/>
  <c r="E32" i="9" s="1"/>
  <c r="E33" i="9" s="1"/>
  <c r="H83" i="9" a="1"/>
  <c r="H83" i="9" s="1"/>
  <c r="H84" i="9" s="1"/>
  <c r="K5" i="9"/>
  <c r="K11" i="9" s="1"/>
  <c r="K13" i="9" s="1"/>
  <c r="K15" i="9" s="1"/>
  <c r="K75" i="9"/>
  <c r="E117" i="9" a="1"/>
  <c r="E117" i="9" s="1"/>
  <c r="E118" i="9" s="1"/>
  <c r="M73" i="9"/>
  <c r="F32" i="9" a="1"/>
  <c r="F32" i="9" s="1"/>
  <c r="F33" i="9" s="1"/>
  <c r="M75" i="9"/>
  <c r="G26" i="9"/>
  <c r="G28" i="9" s="1"/>
  <c r="G30" i="9" s="1"/>
  <c r="M90" i="9"/>
  <c r="G93" i="9"/>
  <c r="G95" i="9"/>
  <c r="G97" i="9" s="1"/>
  <c r="G99" i="9" s="1"/>
  <c r="G94" i="9"/>
  <c r="G96" i="9" s="1"/>
  <c r="L72" i="9"/>
  <c r="G78" i="9"/>
  <c r="G80" i="9" s="1"/>
  <c r="G82" i="9" s="1"/>
  <c r="G76" i="9"/>
  <c r="G77" i="9"/>
  <c r="G79" i="9" s="1"/>
  <c r="H100" i="9" a="1"/>
  <c r="H100" i="9" s="1"/>
  <c r="H101" i="9" s="1"/>
  <c r="G42" i="9"/>
  <c r="G43" i="9"/>
  <c r="G45" i="9" s="1"/>
  <c r="G47" i="9" s="1"/>
  <c r="L55" i="9"/>
  <c r="M55" i="9"/>
  <c r="J55" i="9"/>
  <c r="K90" i="9"/>
  <c r="J90" i="9"/>
  <c r="L90" i="9"/>
  <c r="L39" i="9"/>
  <c r="M39" i="9"/>
  <c r="M44" i="9" s="1"/>
  <c r="M46" i="9" s="1"/>
  <c r="M48" i="9" s="1"/>
  <c r="G59" i="9"/>
  <c r="G60" i="9"/>
  <c r="G62" i="9" s="1"/>
  <c r="G64" i="9" s="1"/>
  <c r="D66" i="9" a="1"/>
  <c r="D66" i="9" s="1"/>
  <c r="D67" i="9" s="1"/>
  <c r="G61" i="9"/>
  <c r="G63" i="9" s="1"/>
  <c r="G65" i="9" s="1"/>
  <c r="L57" i="9"/>
  <c r="J57" i="9"/>
  <c r="M57" i="9"/>
  <c r="D16" i="9" a="1"/>
  <c r="D16" i="9" s="1"/>
  <c r="D17" i="9" s="1"/>
  <c r="E16" i="9" a="1"/>
  <c r="E16" i="9" s="1"/>
  <c r="E17" i="9" s="1"/>
  <c r="M5" i="9"/>
  <c r="M11" i="9" s="1"/>
  <c r="M13" i="9" s="1"/>
  <c r="M15" i="9" s="1"/>
  <c r="G10" i="9"/>
  <c r="G12" i="9" s="1"/>
  <c r="G14" i="9" s="1"/>
  <c r="G11" i="9"/>
  <c r="G13" i="9" s="1"/>
  <c r="G15" i="9" s="1"/>
  <c r="G9" i="9"/>
  <c r="L24" i="9"/>
  <c r="L31" i="9" s="1"/>
  <c r="L32" i="9" s="1" a="1"/>
  <c r="L32" i="9" s="1"/>
  <c r="L33" i="9" s="1"/>
  <c r="G25" i="9"/>
  <c r="M24" i="9"/>
  <c r="K24" i="9"/>
  <c r="I117" i="9" a="1"/>
  <c r="I117" i="9" s="1"/>
  <c r="I118" i="9" s="1"/>
  <c r="I49" i="9" a="1"/>
  <c r="I49" i="9" s="1"/>
  <c r="I50" i="9" s="1"/>
  <c r="F16" i="9" a="1"/>
  <c r="F16" i="9" s="1"/>
  <c r="F17" i="9" s="1"/>
  <c r="I32" i="9" a="1"/>
  <c r="I32" i="9" s="1"/>
  <c r="I33" i="9" s="1"/>
  <c r="K61" i="9" l="1"/>
  <c r="K63" i="9" s="1"/>
  <c r="K65" i="9" s="1"/>
  <c r="K43" i="9"/>
  <c r="K45" i="9" s="1"/>
  <c r="K47" i="9" s="1"/>
  <c r="M76" i="9"/>
  <c r="K77" i="9"/>
  <c r="K79" i="9" s="1"/>
  <c r="K81" i="9" s="1"/>
  <c r="K112" i="9"/>
  <c r="K114" i="9" s="1"/>
  <c r="K116" i="9" s="1"/>
  <c r="G117" i="9" a="1"/>
  <c r="G117" i="9" s="1"/>
  <c r="G118" i="9" s="1"/>
  <c r="L112" i="9"/>
  <c r="L114" i="9" s="1"/>
  <c r="L116" i="9" s="1"/>
  <c r="M111" i="9"/>
  <c r="M113" i="9" s="1"/>
  <c r="M115" i="9" s="1"/>
  <c r="M43" i="9"/>
  <c r="M45" i="9" s="1"/>
  <c r="M47" i="9" s="1"/>
  <c r="L77" i="9"/>
  <c r="L79" i="9" s="1"/>
  <c r="L81" i="9" s="1"/>
  <c r="M94" i="9"/>
  <c r="M96" i="9" s="1"/>
  <c r="M98" i="9" s="1"/>
  <c r="K95" i="9"/>
  <c r="K97" i="9" s="1"/>
  <c r="K99" i="9" s="1"/>
  <c r="M95" i="9"/>
  <c r="M97" i="9" s="1"/>
  <c r="M99" i="9" s="1"/>
  <c r="M100" i="9" s="1" a="1"/>
  <c r="M100" i="9" s="1"/>
  <c r="M101" i="9" s="1"/>
  <c r="K44" i="9"/>
  <c r="K46" i="9" s="1"/>
  <c r="K48" i="9" s="1"/>
  <c r="M93" i="9"/>
  <c r="K78" i="9"/>
  <c r="K80" i="9" s="1"/>
  <c r="K82" i="9" s="1"/>
  <c r="M110" i="9"/>
  <c r="M26" i="9"/>
  <c r="M28" i="9" s="1"/>
  <c r="M30" i="9" s="1"/>
  <c r="K27" i="9"/>
  <c r="K29" i="9" s="1"/>
  <c r="K31" i="9" s="1"/>
  <c r="M78" i="9"/>
  <c r="M80" i="9" s="1"/>
  <c r="M82" i="9" s="1"/>
  <c r="G49" i="9" a="1"/>
  <c r="G49" i="9" s="1"/>
  <c r="G50" i="9" s="1"/>
  <c r="K10" i="9"/>
  <c r="K12" i="9" s="1"/>
  <c r="K14" i="9" s="1"/>
  <c r="G16" i="9" a="1"/>
  <c r="G16" i="9" s="1"/>
  <c r="G17" i="9" s="1"/>
  <c r="M77" i="9"/>
  <c r="M79" i="9" s="1"/>
  <c r="M81" i="9" s="1"/>
  <c r="L111" i="9"/>
  <c r="L113" i="9" s="1"/>
  <c r="L115" i="9" s="1"/>
  <c r="M60" i="9"/>
  <c r="M62" i="9" s="1"/>
  <c r="M64" i="9" s="1"/>
  <c r="G81" i="9"/>
  <c r="G83" i="9" a="1"/>
  <c r="G83" i="9" s="1"/>
  <c r="G84" i="9" s="1"/>
  <c r="G98" i="9"/>
  <c r="G100" i="9" s="1" a="1"/>
  <c r="G100" i="9" s="1"/>
  <c r="G101" i="9" s="1"/>
  <c r="L10" i="9"/>
  <c r="L12" i="9" s="1"/>
  <c r="L14" i="9" s="1"/>
  <c r="L16" i="9" s="1" a="1"/>
  <c r="L16" i="9" s="1"/>
  <c r="L17" i="9" s="1"/>
  <c r="L95" i="9"/>
  <c r="L97" i="9" s="1"/>
  <c r="L99" i="9" s="1"/>
  <c r="L78" i="9"/>
  <c r="L80" i="9" s="1"/>
  <c r="L82" i="9" s="1"/>
  <c r="K94" i="9"/>
  <c r="K96" i="9" s="1"/>
  <c r="K117" i="9" a="1"/>
  <c r="K117" i="9" s="1"/>
  <c r="K118" i="9" s="1"/>
  <c r="G32" i="9" a="1"/>
  <c r="G32" i="9" s="1"/>
  <c r="G33" i="9" s="1"/>
  <c r="L94" i="9"/>
  <c r="L96" i="9" s="1"/>
  <c r="L43" i="9"/>
  <c r="L45" i="9" s="1"/>
  <c r="L47" i="9" s="1"/>
  <c r="L44" i="9"/>
  <c r="L46" i="9" s="1"/>
  <c r="M42" i="9"/>
  <c r="K66" i="9" a="1"/>
  <c r="K66" i="9" s="1"/>
  <c r="K67" i="9" s="1"/>
  <c r="L61" i="9"/>
  <c r="L63" i="9" s="1"/>
  <c r="L65" i="9" s="1"/>
  <c r="L60" i="9"/>
  <c r="L62" i="9" s="1"/>
  <c r="L64" i="9"/>
  <c r="G66" i="9" a="1"/>
  <c r="G66" i="9" s="1"/>
  <c r="G67" i="9" s="1"/>
  <c r="M27" i="9"/>
  <c r="M29" i="9" s="1"/>
  <c r="M31" i="9" s="1"/>
  <c r="M61" i="9"/>
  <c r="M63" i="9" s="1"/>
  <c r="M65" i="9" s="1"/>
  <c r="M59" i="9"/>
  <c r="M9" i="9"/>
  <c r="M10" i="9" s="1"/>
  <c r="M12" i="9" s="1"/>
  <c r="M14" i="9" s="1"/>
  <c r="M25" i="9"/>
  <c r="M49" i="9" a="1"/>
  <c r="M49" i="9" s="1"/>
  <c r="M50" i="9" s="1"/>
  <c r="M16" i="9" l="1" a="1"/>
  <c r="M16" i="9" s="1"/>
  <c r="M17" i="9" s="1"/>
  <c r="M83" i="9" a="1"/>
  <c r="M83" i="9" s="1"/>
  <c r="M84" i="9" s="1"/>
  <c r="M117" i="9" a="1"/>
  <c r="M117" i="9" s="1"/>
  <c r="M118" i="9" s="1"/>
  <c r="K49" i="9" a="1"/>
  <c r="K49" i="9" s="1"/>
  <c r="K50" i="9" s="1"/>
  <c r="M32" i="9" a="1"/>
  <c r="M32" i="9" s="1"/>
  <c r="M33" i="9" s="1"/>
  <c r="K83" i="9" a="1"/>
  <c r="K83" i="9" s="1"/>
  <c r="K84" i="9" s="1"/>
  <c r="K32" i="9" a="1"/>
  <c r="K32" i="9" s="1"/>
  <c r="K33" i="9" s="1"/>
  <c r="K16" i="9" a="1"/>
  <c r="K16" i="9" s="1"/>
  <c r="K17" i="9" s="1"/>
  <c r="L117" i="9" a="1"/>
  <c r="L117" i="9" s="1"/>
  <c r="L118" i="9" s="1"/>
  <c r="L83" i="9" a="1"/>
  <c r="L83" i="9" s="1"/>
  <c r="L84" i="9" s="1"/>
  <c r="K98" i="9"/>
  <c r="K100" i="9" s="1" a="1"/>
  <c r="K100" i="9" s="1"/>
  <c r="K101" i="9" s="1"/>
  <c r="L98" i="9"/>
  <c r="L100" i="9" a="1"/>
  <c r="L100" i="9" s="1"/>
  <c r="L101" i="9" s="1"/>
  <c r="L48" i="9"/>
  <c r="L49" i="9" s="1" a="1"/>
  <c r="L49" i="9" s="1"/>
  <c r="L50" i="9" s="1"/>
  <c r="L66" i="9" a="1"/>
  <c r="L66" i="9" s="1"/>
  <c r="L67" i="9" s="1"/>
  <c r="M66" i="9" a="1"/>
  <c r="M66" i="9" s="1"/>
  <c r="M67" i="9" s="1"/>
  <c r="D11" i="8" l="1"/>
  <c r="E11" i="8"/>
  <c r="F11" i="8"/>
  <c r="C11" i="8"/>
  <c r="D10" i="8" a="1"/>
  <c r="D10" i="8"/>
  <c r="E10" i="8" a="1"/>
  <c r="E10" i="8"/>
  <c r="F10" i="8" a="1"/>
  <c r="F10" i="8"/>
  <c r="C10" i="8" a="1"/>
  <c r="C10" i="8" s="1"/>
  <c r="C9" i="8"/>
  <c r="D9" i="8"/>
  <c r="E9" i="8"/>
  <c r="F9" i="8"/>
  <c r="L9" i="8"/>
  <c r="F8" i="8"/>
  <c r="E8" i="8"/>
  <c r="C8" i="8"/>
  <c r="D8" i="8"/>
  <c r="D7" i="8"/>
  <c r="E7" i="8"/>
  <c r="F7" i="8"/>
  <c r="G7" i="8"/>
  <c r="H7" i="8"/>
  <c r="J7" i="8"/>
  <c r="K7" i="8"/>
  <c r="J5" i="8"/>
  <c r="K5" i="8"/>
  <c r="K6" i="8" s="1"/>
  <c r="L5" i="8"/>
  <c r="K4" i="8"/>
  <c r="I4" i="8"/>
  <c r="I8" i="8" s="1"/>
  <c r="J4" i="8"/>
  <c r="F5" i="8"/>
  <c r="F4" i="8"/>
  <c r="D4" i="8"/>
  <c r="E4" i="8"/>
  <c r="F6" i="8"/>
  <c r="D5" i="8"/>
  <c r="E5" i="8"/>
  <c r="C5" i="8"/>
  <c r="C4" i="8"/>
  <c r="C7" i="8"/>
  <c r="D6" i="8"/>
  <c r="E6" i="8"/>
  <c r="C6" i="8"/>
  <c r="G6" i="8"/>
  <c r="I5" i="8"/>
  <c r="I7" i="8" s="1"/>
  <c r="C11" i="4"/>
  <c r="D11" i="4"/>
  <c r="C13" i="4"/>
  <c r="D13" i="4"/>
  <c r="E13" i="4"/>
  <c r="D10" i="4"/>
  <c r="D6" i="4"/>
  <c r="E6" i="4"/>
  <c r="C6" i="4"/>
  <c r="D5" i="4"/>
  <c r="E5" i="4"/>
  <c r="E12" i="4" s="1"/>
  <c r="C5" i="4"/>
  <c r="D4" i="4"/>
  <c r="E4" i="4"/>
  <c r="E11" i="4" s="1"/>
  <c r="C4" i="4"/>
  <c r="D3" i="4"/>
  <c r="E3" i="4"/>
  <c r="E10" i="4" s="1"/>
  <c r="E14" i="4" s="1" a="1"/>
  <c r="E14" i="4" s="1"/>
  <c r="C3" i="4"/>
  <c r="S4" i="3"/>
  <c r="S5" i="3"/>
  <c r="S6" i="3"/>
  <c r="T6" i="3"/>
  <c r="S7" i="3"/>
  <c r="S8" i="3"/>
  <c r="T8" i="3"/>
  <c r="S9" i="3"/>
  <c r="S10" i="3"/>
  <c r="T10" i="3"/>
  <c r="S11" i="3"/>
  <c r="S12" i="3"/>
  <c r="S13" i="3"/>
  <c r="S14" i="3"/>
  <c r="S15" i="3"/>
  <c r="S16" i="3"/>
  <c r="S17" i="3"/>
  <c r="T17" i="3"/>
  <c r="E17" i="3"/>
  <c r="P17" i="3" s="1"/>
  <c r="F17" i="3"/>
  <c r="Q17" i="3" s="1"/>
  <c r="D17" i="3"/>
  <c r="O17" i="3" s="1"/>
  <c r="E16" i="3"/>
  <c r="P16" i="3" s="1"/>
  <c r="F16" i="3"/>
  <c r="Q16" i="3" s="1"/>
  <c r="D16" i="3"/>
  <c r="O16" i="3" s="1"/>
  <c r="E15" i="3"/>
  <c r="P15" i="3" s="1"/>
  <c r="F15" i="3"/>
  <c r="Q15" i="3" s="1"/>
  <c r="D15" i="3"/>
  <c r="O15" i="3" s="1"/>
  <c r="E14" i="3"/>
  <c r="P14" i="3" s="1"/>
  <c r="F14" i="3"/>
  <c r="Q14" i="3" s="1"/>
  <c r="D14" i="3"/>
  <c r="O14" i="3" s="1"/>
  <c r="E13" i="3"/>
  <c r="P13" i="3" s="1"/>
  <c r="F13" i="3"/>
  <c r="Q13" i="3" s="1"/>
  <c r="D13" i="3"/>
  <c r="O13" i="3" s="1"/>
  <c r="E12" i="3"/>
  <c r="P12" i="3" s="1"/>
  <c r="F12" i="3"/>
  <c r="Q12" i="3" s="1"/>
  <c r="D12" i="3"/>
  <c r="O12" i="3" s="1"/>
  <c r="E11" i="3"/>
  <c r="P11" i="3" s="1"/>
  <c r="F11" i="3"/>
  <c r="Q11" i="3" s="1"/>
  <c r="D11" i="3"/>
  <c r="O11" i="3" s="1"/>
  <c r="E10" i="3"/>
  <c r="P10" i="3" s="1"/>
  <c r="F10" i="3"/>
  <c r="Q10" i="3" s="1"/>
  <c r="D10" i="3"/>
  <c r="O10" i="3" s="1"/>
  <c r="E9" i="3"/>
  <c r="P9" i="3" s="1"/>
  <c r="F9" i="3"/>
  <c r="Q9" i="3" s="1"/>
  <c r="D9" i="3"/>
  <c r="O9" i="3" s="1"/>
  <c r="E7" i="3"/>
  <c r="P7" i="3" s="1"/>
  <c r="F7" i="3"/>
  <c r="Q7" i="3" s="1"/>
  <c r="E8" i="3"/>
  <c r="P8" i="3" s="1"/>
  <c r="F8" i="3"/>
  <c r="Q8" i="3" s="1"/>
  <c r="D8" i="3"/>
  <c r="O8" i="3" s="1"/>
  <c r="D7" i="3"/>
  <c r="O7" i="3" s="1"/>
  <c r="E6" i="3"/>
  <c r="P6" i="3" s="1"/>
  <c r="F6" i="3"/>
  <c r="Q6" i="3" s="1"/>
  <c r="D6" i="3"/>
  <c r="O6" i="3" s="1"/>
  <c r="E5" i="3"/>
  <c r="P5" i="3" s="1"/>
  <c r="F5" i="3"/>
  <c r="Q5" i="3" s="1"/>
  <c r="D5" i="3"/>
  <c r="O5" i="3" s="1"/>
  <c r="E4" i="3"/>
  <c r="P4" i="3" s="1"/>
  <c r="F4" i="3"/>
  <c r="Q4" i="3" s="1"/>
  <c r="E3" i="3"/>
  <c r="F3" i="3"/>
  <c r="D3" i="3"/>
  <c r="D4" i="3"/>
  <c r="O4" i="3" s="1"/>
  <c r="S3" i="3"/>
  <c r="G449" i="1"/>
  <c r="H449" i="1"/>
  <c r="F449" i="1"/>
  <c r="P14" i="12"/>
  <c r="Q14" i="12"/>
  <c r="O14" i="12"/>
  <c r="U11" i="12"/>
  <c r="V11" i="12"/>
  <c r="T11" i="12"/>
  <c r="P10" i="12"/>
  <c r="Q10" i="12"/>
  <c r="O10" i="12"/>
  <c r="U9" i="12"/>
  <c r="V9" i="12"/>
  <c r="T9" i="12"/>
  <c r="P8" i="12"/>
  <c r="Q8" i="12"/>
  <c r="O8" i="12"/>
  <c r="P7" i="12"/>
  <c r="Q7" i="12"/>
  <c r="O7" i="12"/>
  <c r="P6" i="12"/>
  <c r="Q6" i="12"/>
  <c r="O6" i="12"/>
  <c r="P5" i="12"/>
  <c r="Q5" i="12"/>
  <c r="O5" i="12"/>
  <c r="P4" i="12"/>
  <c r="Q4" i="12"/>
  <c r="O4" i="12"/>
  <c r="U8" i="12"/>
  <c r="V8" i="12"/>
  <c r="T8" i="12"/>
  <c r="P3" i="12"/>
  <c r="Q3" i="12"/>
  <c r="O3" i="12"/>
  <c r="AF75" i="2" a="1"/>
  <c r="AF75" i="2" s="1"/>
  <c r="U7" i="12"/>
  <c r="V7" i="12"/>
  <c r="T7" i="12"/>
  <c r="T91" i="2" a="1"/>
  <c r="T91" i="2" s="1"/>
  <c r="AF60" i="2" a="1"/>
  <c r="AF60" i="2" s="1"/>
  <c r="T78" i="2" a="1"/>
  <c r="T78" i="2" s="1"/>
  <c r="U6" i="12"/>
  <c r="V6" i="12"/>
  <c r="T6" i="12"/>
  <c r="T50" i="2" a="1"/>
  <c r="T50" i="2" s="1"/>
  <c r="U5" i="12"/>
  <c r="V5" i="12"/>
  <c r="T5" i="12"/>
  <c r="U4" i="12"/>
  <c r="V4" i="12"/>
  <c r="T4" i="12"/>
  <c r="B134" i="2" a="1"/>
  <c r="B134" i="2" s="1"/>
  <c r="U3" i="12"/>
  <c r="V3" i="12"/>
  <c r="T3" i="12"/>
  <c r="G3" i="12" a="1"/>
  <c r="G3" i="12" s="1"/>
  <c r="B3" i="12" a="1"/>
  <c r="B3" i="12" s="1"/>
  <c r="C10" i="4" l="1"/>
  <c r="F4" i="4"/>
  <c r="J4" i="4" s="1"/>
  <c r="F6" i="4"/>
  <c r="C12" i="4"/>
  <c r="K5" i="4"/>
  <c r="F3" i="4"/>
  <c r="K3" i="4" s="1"/>
  <c r="D12" i="4"/>
  <c r="D14" i="4" s="1" a="1"/>
  <c r="D14" i="4" s="1"/>
  <c r="O3" i="3"/>
  <c r="D20" i="3"/>
  <c r="D19" i="3"/>
  <c r="D21" i="3"/>
  <c r="P3" i="3"/>
  <c r="E19" i="3"/>
  <c r="E21" i="3"/>
  <c r="E20" i="3"/>
  <c r="F19" i="3"/>
  <c r="F21" i="3"/>
  <c r="F20" i="3"/>
  <c r="S18" i="3" a="1"/>
  <c r="S18" i="3" s="1"/>
  <c r="S19" i="3" s="1"/>
  <c r="O18" i="3" a="1"/>
  <c r="O18" i="3" s="1"/>
  <c r="P18" i="3" a="1"/>
  <c r="P18" i="3" s="1"/>
  <c r="L6" i="8"/>
  <c r="L8" i="8"/>
  <c r="L10" i="8" s="1" a="1"/>
  <c r="L10" i="8" s="1"/>
  <c r="L7" i="8"/>
  <c r="I9" i="8"/>
  <c r="I10" i="8" a="1"/>
  <c r="I10" i="8" s="1"/>
  <c r="J6" i="8"/>
  <c r="I6" i="8"/>
  <c r="H6" i="8"/>
  <c r="F5" i="4"/>
  <c r="J5" i="4" s="1"/>
  <c r="F13" i="4" l="1"/>
  <c r="J6" i="4"/>
  <c r="I3" i="4"/>
  <c r="L3" i="4"/>
  <c r="F10" i="4"/>
  <c r="L5" i="4"/>
  <c r="I5" i="4"/>
  <c r="F12" i="4"/>
  <c r="C14" i="4" a="1"/>
  <c r="C14" i="4" s="1"/>
  <c r="C15" i="4" s="1"/>
  <c r="I4" i="4"/>
  <c r="L4" i="4"/>
  <c r="F11" i="4"/>
  <c r="K4" i="4"/>
  <c r="J3" i="4"/>
  <c r="K6" i="4"/>
  <c r="F14" i="4" l="1" a="1"/>
  <c r="F14" i="4" s="1"/>
  <c r="P19" i="3" l="1"/>
  <c r="O19" i="3"/>
  <c r="A3" i="10" a="1"/>
  <c r="A3" i="10" s="1"/>
  <c r="H6" i="4"/>
  <c r="P3" i="6" a="1"/>
  <c r="P3" i="6" s="1"/>
  <c r="K3" i="6" a="1"/>
  <c r="K3" i="6" s="1"/>
  <c r="F3" i="6" a="1"/>
  <c r="F3" i="6" s="1"/>
  <c r="A3" i="6" a="1"/>
  <c r="A3" i="6" s="1"/>
  <c r="H7" i="4" l="1"/>
  <c r="L6" i="4"/>
  <c r="H9" i="4"/>
  <c r="H8" i="4"/>
  <c r="H18" i="3" l="1"/>
  <c r="I3" i="3"/>
  <c r="I7" i="3"/>
  <c r="T7" i="3" s="1"/>
  <c r="I13" i="3"/>
  <c r="T13" i="3" s="1"/>
  <c r="I15" i="3"/>
  <c r="T15" i="3" s="1"/>
  <c r="I4" i="3"/>
  <c r="T4" i="3" s="1"/>
  <c r="I5" i="3"/>
  <c r="T5" i="3" s="1"/>
  <c r="I9" i="3"/>
  <c r="T9" i="3" s="1"/>
  <c r="I11" i="3"/>
  <c r="T11" i="3" s="1"/>
  <c r="I12" i="3"/>
  <c r="T12" i="3" s="1"/>
  <c r="I14" i="3"/>
  <c r="T14" i="3" s="1"/>
  <c r="I16" i="3"/>
  <c r="T16" i="3" s="1"/>
  <c r="I21" i="3" l="1"/>
  <c r="I19" i="3"/>
  <c r="I20" i="3"/>
  <c r="I18" i="3"/>
  <c r="T3" i="3"/>
  <c r="CH3" i="2" a="1"/>
  <c r="CH3" i="2" s="1"/>
  <c r="CB3" i="2" a="1"/>
  <c r="CB3" i="2" s="1"/>
  <c r="BV3" i="2" a="1"/>
  <c r="BV3" i="2" s="1"/>
  <c r="BP3" i="2" a="1"/>
  <c r="BP3" i="2" s="1"/>
  <c r="BJ3" i="2" a="1"/>
  <c r="BJ3" i="2" s="1"/>
  <c r="BD3" i="2" a="1"/>
  <c r="BD3" i="2" s="1"/>
  <c r="AX3" i="2" a="1"/>
  <c r="AX3" i="2" s="1"/>
  <c r="AR3" i="2" a="1"/>
  <c r="AR3" i="2" s="1"/>
  <c r="AL3" i="2" a="1"/>
  <c r="AL3" i="2" s="1"/>
  <c r="AF3" i="2" a="1"/>
  <c r="AF44" i="2" s="1" a="1"/>
  <c r="AF44" i="2" s="1"/>
  <c r="Z3" i="2" a="1"/>
  <c r="T3" i="2" a="1"/>
  <c r="N3" i="2" a="1"/>
  <c r="N3" i="2" s="1"/>
  <c r="H3" i="2" a="1"/>
  <c r="H3" i="2" s="1"/>
  <c r="B3" i="2" a="1"/>
  <c r="T18" i="3" l="1" a="1"/>
  <c r="T18" i="3" s="1"/>
  <c r="T19" i="3" s="1"/>
  <c r="T3" i="2"/>
  <c r="B3" i="2"/>
  <c r="Q115" i="2" a="1"/>
  <c r="Q115" i="2" s="1"/>
  <c r="L115" i="2" a="1"/>
  <c r="G115" i="2" a="1"/>
  <c r="B115" i="2" a="1"/>
  <c r="G17" i="3"/>
  <c r="R17" i="3" s="1"/>
  <c r="AF3" i="2"/>
  <c r="Z3" i="2"/>
  <c r="Q3" i="3"/>
  <c r="Q18" i="3" s="1" a="1"/>
  <c r="Q18" i="3" s="1"/>
  <c r="Q19" i="3" l="1"/>
  <c r="K17" i="3"/>
  <c r="V17" i="3" s="1"/>
  <c r="B115" i="2"/>
  <c r="G115" i="2"/>
  <c r="L115" i="2"/>
  <c r="L17" i="3"/>
  <c r="W17" i="3" s="1"/>
  <c r="G13" i="3"/>
  <c r="R13" i="3" s="1"/>
  <c r="G14" i="3"/>
  <c r="R14" i="3" s="1"/>
  <c r="G5" i="3"/>
  <c r="G9" i="3"/>
  <c r="R9" i="3" s="1"/>
  <c r="G10" i="3"/>
  <c r="R10" i="3" s="1"/>
  <c r="G7" i="3"/>
  <c r="R7" i="3" s="1"/>
  <c r="G16" i="3"/>
  <c r="R16" i="3" s="1"/>
  <c r="G3" i="3"/>
  <c r="G8" i="3"/>
  <c r="R8" i="3" s="1"/>
  <c r="G4" i="3"/>
  <c r="R4" i="3" s="1"/>
  <c r="G15" i="3"/>
  <c r="R15" i="3" s="1"/>
  <c r="G6" i="3"/>
  <c r="R6" i="3" s="1"/>
  <c r="G11" i="3"/>
  <c r="R11" i="3" s="1"/>
  <c r="G12" i="3"/>
  <c r="R12" i="3" s="1"/>
  <c r="M17" i="3"/>
  <c r="X17" i="3" s="1"/>
  <c r="J17" i="3"/>
  <c r="U17" i="3" s="1"/>
  <c r="D18" i="3"/>
  <c r="F18" i="3"/>
  <c r="E18" i="3"/>
  <c r="G19" i="3" l="1"/>
  <c r="G21" i="3"/>
  <c r="G20" i="3"/>
  <c r="R5" i="3"/>
  <c r="M5" i="3"/>
  <c r="X5" i="3" s="1"/>
  <c r="M3" i="3"/>
  <c r="R3" i="3"/>
  <c r="R18" i="3" s="1" a="1"/>
  <c r="R18" i="3" s="1"/>
  <c r="R19" i="3" s="1"/>
  <c r="G18" i="3"/>
  <c r="J3" i="3"/>
  <c r="K9" i="3"/>
  <c r="V9" i="3" s="1"/>
  <c r="K5" i="3"/>
  <c r="V5" i="3" s="1"/>
  <c r="K14" i="3"/>
  <c r="V14" i="3" s="1"/>
  <c r="K12" i="3"/>
  <c r="V12" i="3" s="1"/>
  <c r="K13" i="3"/>
  <c r="V13" i="3" s="1"/>
  <c r="L11" i="3"/>
  <c r="W11" i="3" s="1"/>
  <c r="L16" i="3"/>
  <c r="W16" i="3" s="1"/>
  <c r="K10" i="3"/>
  <c r="V10" i="3" s="1"/>
  <c r="L6" i="3"/>
  <c r="W6" i="3" s="1"/>
  <c r="L7" i="3"/>
  <c r="W7" i="3" s="1"/>
  <c r="L15" i="3"/>
  <c r="W15" i="3" s="1"/>
  <c r="L4" i="3"/>
  <c r="W4" i="3" s="1"/>
  <c r="J4" i="3"/>
  <c r="U4" i="3" s="1"/>
  <c r="L8" i="3"/>
  <c r="W8" i="3" s="1"/>
  <c r="K3" i="3"/>
  <c r="X3" i="3"/>
  <c r="L3" i="3"/>
  <c r="K7" i="3"/>
  <c r="V7" i="3" s="1"/>
  <c r="K4" i="3"/>
  <c r="V4" i="3" s="1"/>
  <c r="K15" i="3"/>
  <c r="V15" i="3" s="1"/>
  <c r="L14" i="3"/>
  <c r="W14" i="3" s="1"/>
  <c r="L9" i="3"/>
  <c r="W9" i="3" s="1"/>
  <c r="K8" i="3"/>
  <c r="V8" i="3" s="1"/>
  <c r="L5" i="3"/>
  <c r="W5" i="3" s="1"/>
  <c r="L12" i="3"/>
  <c r="W12" i="3" s="1"/>
  <c r="L10" i="3"/>
  <c r="W10" i="3" s="1"/>
  <c r="L13" i="3"/>
  <c r="W13" i="3" s="1"/>
  <c r="K16" i="3"/>
  <c r="V16" i="3" s="1"/>
  <c r="J11" i="3"/>
  <c r="U11" i="3" s="1"/>
  <c r="M11" i="3"/>
  <c r="X11" i="3" s="1"/>
  <c r="K11" i="3"/>
  <c r="V11" i="3" s="1"/>
  <c r="J7" i="3"/>
  <c r="U7" i="3" s="1"/>
  <c r="M7" i="3"/>
  <c r="X7" i="3" s="1"/>
  <c r="J15" i="3"/>
  <c r="U15" i="3" s="1"/>
  <c r="M15" i="3"/>
  <c r="X15" i="3" s="1"/>
  <c r="M6" i="3"/>
  <c r="X6" i="3" s="1"/>
  <c r="J6" i="3"/>
  <c r="U6" i="3" s="1"/>
  <c r="K6" i="3"/>
  <c r="V6" i="3" s="1"/>
  <c r="M4" i="3"/>
  <c r="X4" i="3" s="1"/>
  <c r="J5" i="3"/>
  <c r="U5" i="3" s="1"/>
  <c r="M8" i="3"/>
  <c r="X8" i="3" s="1"/>
  <c r="J8" i="3"/>
  <c r="U8" i="3" s="1"/>
  <c r="M14" i="3"/>
  <c r="X14" i="3" s="1"/>
  <c r="J14" i="3"/>
  <c r="U14" i="3" s="1"/>
  <c r="J10" i="3"/>
  <c r="U10" i="3" s="1"/>
  <c r="M10" i="3"/>
  <c r="X10" i="3" s="1"/>
  <c r="J9" i="3"/>
  <c r="U9" i="3" s="1"/>
  <c r="M9" i="3"/>
  <c r="X9" i="3" s="1"/>
  <c r="J12" i="3"/>
  <c r="U12" i="3" s="1"/>
  <c r="M12" i="3"/>
  <c r="X12" i="3" s="1"/>
  <c r="J16" i="3"/>
  <c r="U16" i="3" s="1"/>
  <c r="M16" i="3"/>
  <c r="X16" i="3" s="1"/>
  <c r="M13" i="3"/>
  <c r="X13" i="3" s="1"/>
  <c r="J13" i="3"/>
  <c r="U13" i="3" s="1"/>
  <c r="W3" i="3" l="1"/>
  <c r="W18" i="3" s="1" a="1"/>
  <c r="W18" i="3" s="1"/>
  <c r="W19" i="3" s="1"/>
  <c r="L20" i="3"/>
  <c r="L21" i="3"/>
  <c r="L19" i="3"/>
  <c r="V3" i="3"/>
  <c r="V18" i="3" s="1" a="1"/>
  <c r="V18" i="3" s="1"/>
  <c r="V19" i="3" s="1"/>
  <c r="K20" i="3"/>
  <c r="K21" i="3"/>
  <c r="K19" i="3"/>
  <c r="U3" i="3"/>
  <c r="U18" i="3" s="1" a="1"/>
  <c r="U18" i="3" s="1"/>
  <c r="U19" i="3" s="1"/>
  <c r="J20" i="3"/>
  <c r="J21" i="3"/>
  <c r="J19" i="3"/>
  <c r="M20" i="3"/>
  <c r="M21" i="3"/>
  <c r="M19" i="3"/>
  <c r="X18" i="3" a="1"/>
  <c r="X18" i="3" s="1"/>
  <c r="X19" i="3" s="1"/>
  <c r="F15" i="4"/>
  <c r="E15" i="4"/>
  <c r="J8" i="4"/>
  <c r="J9" i="4"/>
  <c r="D15" i="4"/>
  <c r="E8" i="4"/>
  <c r="E9" i="4"/>
  <c r="C8" i="4"/>
  <c r="C7" i="4"/>
  <c r="C9" i="4"/>
  <c r="D9" i="4"/>
  <c r="D8" i="4"/>
  <c r="F8" i="4"/>
  <c r="F7" i="4"/>
  <c r="F9" i="4"/>
  <c r="E7" i="4"/>
  <c r="D7" i="4"/>
  <c r="K9" i="4"/>
  <c r="K8" i="4"/>
  <c r="L8" i="4"/>
  <c r="L9" i="4"/>
  <c r="G6" i="4"/>
  <c r="I6" i="4" s="1"/>
  <c r="G8" i="4"/>
  <c r="G9" i="4" l="1"/>
  <c r="I9" i="4"/>
  <c r="I8" i="4"/>
  <c r="H11" i="9"/>
  <c r="H13" i="9" s="1"/>
  <c r="H15" i="9" s="1"/>
  <c r="J8" i="9"/>
  <c r="J11" i="9" s="1"/>
  <c r="J13" i="9" s="1"/>
  <c r="J10" i="9"/>
  <c r="J12" i="9" s="1"/>
  <c r="J14" i="9" s="1"/>
  <c r="H12" i="9"/>
  <c r="H14" i="9" l="1"/>
  <c r="H16" i="9" s="1" a="1"/>
  <c r="H16" i="9" s="1"/>
  <c r="H17" i="9" s="1"/>
  <c r="J15" i="9"/>
  <c r="J16" i="9" s="1" a="1"/>
  <c r="J16" i="9" s="1"/>
  <c r="J17" i="9" s="1"/>
  <c r="J24" i="9"/>
  <c r="J27" i="9" s="1"/>
  <c r="J29" i="9" s="1"/>
  <c r="H27" i="9"/>
  <c r="H29" i="9" s="1"/>
  <c r="H31" i="9" s="1"/>
  <c r="H26" i="9"/>
  <c r="H28" i="9" s="1"/>
  <c r="H30" i="9" s="1"/>
  <c r="H32" i="9" l="1" a="1"/>
  <c r="H32" i="9" s="1"/>
  <c r="H33" i="9" s="1"/>
  <c r="J26" i="9"/>
  <c r="J28" i="9" s="1"/>
  <c r="J30" i="9" s="1"/>
  <c r="J31" i="9"/>
  <c r="H44" i="9"/>
  <c r="H46" i="9" s="1"/>
  <c r="H43" i="9"/>
  <c r="H45" i="9"/>
  <c r="H47" i="9" s="1"/>
  <c r="J41" i="9"/>
  <c r="J43" i="9" s="1"/>
  <c r="J45" i="9" s="1"/>
  <c r="J32" i="9" l="1" a="1"/>
  <c r="J32" i="9" s="1"/>
  <c r="J33" i="9" s="1"/>
  <c r="J47" i="9"/>
  <c r="H48" i="9"/>
  <c r="H49" i="9" s="1" a="1"/>
  <c r="H49" i="9" s="1"/>
  <c r="H50" i="9" s="1"/>
  <c r="J44" i="9"/>
  <c r="J46" i="9" s="1"/>
  <c r="J48" i="9" s="1"/>
  <c r="J49" i="9" l="1" a="1"/>
  <c r="J49" i="9" s="1"/>
  <c r="J50" i="9" s="1"/>
  <c r="H61" i="9"/>
  <c r="H63" i="9" s="1"/>
  <c r="H65" i="9" s="1"/>
  <c r="J58" i="9"/>
  <c r="J61" i="9"/>
  <c r="J63" i="9" s="1"/>
  <c r="J75" i="9"/>
  <c r="H60" i="9"/>
  <c r="H62" i="9" s="1"/>
  <c r="H64" i="9" s="1"/>
  <c r="J78" i="9" l="1"/>
  <c r="J80" i="9" s="1"/>
  <c r="J82" i="9" s="1"/>
  <c r="J77" i="9"/>
  <c r="J79" i="9" s="1"/>
  <c r="H66" i="9" a="1"/>
  <c r="H66" i="9" s="1"/>
  <c r="H67" i="9" s="1"/>
  <c r="J65" i="9"/>
  <c r="J60" i="9"/>
  <c r="J62" i="9" s="1"/>
  <c r="J81" i="9" l="1"/>
  <c r="J83" i="9" s="1" a="1"/>
  <c r="J83" i="9" s="1"/>
  <c r="J84" i="9" s="1"/>
  <c r="J64" i="9"/>
  <c r="J66" i="9" s="1" a="1"/>
  <c r="J66" i="9" s="1"/>
  <c r="J67" i="9" s="1"/>
  <c r="J92" i="9"/>
  <c r="J95" i="9" l="1"/>
  <c r="J97" i="9" s="1"/>
  <c r="J99" i="9" s="1"/>
  <c r="J94" i="9"/>
  <c r="J96" i="9" s="1"/>
  <c r="J98" i="9" s="1"/>
  <c r="H111" i="9"/>
  <c r="H113" i="9" s="1"/>
  <c r="H112" i="9"/>
  <c r="H114" i="9" s="1"/>
  <c r="H116" i="9" s="1"/>
  <c r="J109" i="9"/>
  <c r="J111" i="9" s="1"/>
  <c r="J113" i="9" s="1"/>
  <c r="J115" i="9" s="1"/>
  <c r="J100" i="9" l="1" a="1"/>
  <c r="J100" i="9" s="1"/>
  <c r="J101" i="9" s="1"/>
  <c r="H115" i="9"/>
  <c r="H117" i="9" a="1"/>
  <c r="H117" i="9" s="1"/>
  <c r="H118" i="9" s="1"/>
  <c r="J112" i="9"/>
  <c r="J114" i="9" s="1"/>
  <c r="J116" i="9" l="1"/>
  <c r="J117" i="9" s="1" a="1"/>
  <c r="J117" i="9" s="1"/>
  <c r="J118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<sst xmlns="http://schemas.openxmlformats.org/spreadsheetml/2006/main" count="2820" uniqueCount="512">
  <si>
    <t>断＝窒素断</t>
    <rPh sb="0" eb="1">
      <t>ダン</t>
    </rPh>
    <rPh sb="2" eb="4">
      <t>チッソ</t>
    </rPh>
    <rPh sb="4" eb="5">
      <t>ダン</t>
    </rPh>
    <phoneticPr fontId="2"/>
  </si>
  <si>
    <t>無＝無仮植え</t>
    <rPh sb="0" eb="1">
      <t>ム</t>
    </rPh>
    <rPh sb="2" eb="3">
      <t>ム</t>
    </rPh>
    <rPh sb="3" eb="4">
      <t>カリ</t>
    </rPh>
    <rPh sb="4" eb="5">
      <t>ウ</t>
    </rPh>
    <phoneticPr fontId="2"/>
  </si>
  <si>
    <t>月日</t>
    <rPh sb="0" eb="2">
      <t>ツキヒ</t>
    </rPh>
    <phoneticPr fontId="2"/>
  </si>
  <si>
    <t>ハウス棟</t>
    <rPh sb="3" eb="4">
      <t>トウ</t>
    </rPh>
    <phoneticPr fontId="2"/>
  </si>
  <si>
    <t>企業名</t>
    <rPh sb="0" eb="3">
      <t>キギョウメイ</t>
    </rPh>
    <phoneticPr fontId="2"/>
  </si>
  <si>
    <t>品種名</t>
    <rPh sb="0" eb="3">
      <t>ヒンシュメイ</t>
    </rPh>
    <phoneticPr fontId="2"/>
  </si>
  <si>
    <t>収量（ｇ）</t>
    <rPh sb="0" eb="2">
      <t>シュウリョウ</t>
    </rPh>
    <phoneticPr fontId="2"/>
  </si>
  <si>
    <t>加工用（ｇ）</t>
    <rPh sb="0" eb="3">
      <t>カコウヨウ</t>
    </rPh>
    <phoneticPr fontId="2"/>
  </si>
  <si>
    <t>パック数</t>
    <rPh sb="3" eb="4">
      <t>スウ</t>
    </rPh>
    <phoneticPr fontId="2"/>
  </si>
  <si>
    <t>実験棟</t>
    <rPh sb="0" eb="3">
      <t>ジッケントウ</t>
    </rPh>
    <phoneticPr fontId="2"/>
  </si>
  <si>
    <t>マルテー</t>
    <phoneticPr fontId="2"/>
  </si>
  <si>
    <t>紅ほっぺ（断）</t>
    <rPh sb="0" eb="1">
      <t>ベニ</t>
    </rPh>
    <rPh sb="5" eb="6">
      <t>ダン</t>
    </rPh>
    <phoneticPr fontId="2"/>
  </si>
  <si>
    <t>B棟</t>
    <rPh sb="1" eb="2">
      <t>トウ</t>
    </rPh>
    <phoneticPr fontId="2"/>
  </si>
  <si>
    <t>三和</t>
    <rPh sb="0" eb="2">
      <t>サンワ</t>
    </rPh>
    <phoneticPr fontId="2"/>
  </si>
  <si>
    <t>紅ほっぺ(断）</t>
    <rPh sb="0" eb="1">
      <t>ベニ</t>
    </rPh>
    <rPh sb="5" eb="6">
      <t>ダン</t>
    </rPh>
    <phoneticPr fontId="2"/>
  </si>
  <si>
    <t>E棟</t>
    <rPh sb="1" eb="2">
      <t>トウ</t>
    </rPh>
    <phoneticPr fontId="2"/>
  </si>
  <si>
    <t>B棟棟</t>
    <rPh sb="1" eb="2">
      <t>トウ</t>
    </rPh>
    <rPh sb="2" eb="3">
      <t>トウ</t>
    </rPh>
    <phoneticPr fontId="2"/>
  </si>
  <si>
    <t>QB</t>
    <phoneticPr fontId="2"/>
  </si>
  <si>
    <t>A棟</t>
    <rPh sb="1" eb="2">
      <t>トウ</t>
    </rPh>
    <phoneticPr fontId="2"/>
  </si>
  <si>
    <t>東レ</t>
    <rPh sb="0" eb="1">
      <t>トウ</t>
    </rPh>
    <phoneticPr fontId="2"/>
  </si>
  <si>
    <t>Adobe</t>
    <phoneticPr fontId="2"/>
  </si>
  <si>
    <t>かおり野</t>
    <rPh sb="3" eb="4">
      <t>ノ</t>
    </rPh>
    <phoneticPr fontId="2"/>
  </si>
  <si>
    <t>実験棟</t>
    <rPh sb="0" eb="2">
      <t>ジッケン</t>
    </rPh>
    <rPh sb="2" eb="3">
      <t>トウ</t>
    </rPh>
    <phoneticPr fontId="2"/>
  </si>
  <si>
    <t>よつぼし</t>
    <phoneticPr fontId="2"/>
  </si>
  <si>
    <t>昭和女子</t>
    <rPh sb="0" eb="4">
      <t>ショウワジョシ</t>
    </rPh>
    <phoneticPr fontId="2"/>
  </si>
  <si>
    <t>紅ほっぺ</t>
    <rPh sb="0" eb="1">
      <t>ベニ</t>
    </rPh>
    <phoneticPr fontId="2"/>
  </si>
  <si>
    <t>バリュ</t>
    <phoneticPr fontId="2"/>
  </si>
  <si>
    <t>ソリトン</t>
    <phoneticPr fontId="2"/>
  </si>
  <si>
    <t>NaITO</t>
    <phoneticPr fontId="2"/>
  </si>
  <si>
    <t>岡部</t>
    <rPh sb="0" eb="2">
      <t>オカベ</t>
    </rPh>
    <phoneticPr fontId="2"/>
  </si>
  <si>
    <t>ケイアイ</t>
    <phoneticPr fontId="2"/>
  </si>
  <si>
    <t>日建</t>
    <rPh sb="0" eb="2">
      <t>ニッケン</t>
    </rPh>
    <phoneticPr fontId="2"/>
  </si>
  <si>
    <t>富士機械</t>
    <rPh sb="0" eb="4">
      <t>フジキカイ</t>
    </rPh>
    <phoneticPr fontId="2"/>
  </si>
  <si>
    <t>やよい姫</t>
    <rPh sb="3" eb="4">
      <t>ヒメ</t>
    </rPh>
    <phoneticPr fontId="2"/>
  </si>
  <si>
    <t>紅ほっぺ（無）</t>
    <rPh sb="0" eb="1">
      <t>ベニ</t>
    </rPh>
    <rPh sb="5" eb="6">
      <t>ナ</t>
    </rPh>
    <phoneticPr fontId="2"/>
  </si>
  <si>
    <t>慈誠会</t>
    <rPh sb="0" eb="3">
      <t>ジセイカイ</t>
    </rPh>
    <phoneticPr fontId="2"/>
  </si>
  <si>
    <t>昭和</t>
    <rPh sb="0" eb="2">
      <t>ショウワ</t>
    </rPh>
    <phoneticPr fontId="2"/>
  </si>
  <si>
    <t>富士機材</t>
    <rPh sb="0" eb="4">
      <t>フジキザイ</t>
    </rPh>
    <phoneticPr fontId="2"/>
  </si>
  <si>
    <t>A</t>
    <phoneticPr fontId="2"/>
  </si>
  <si>
    <t>E</t>
    <phoneticPr fontId="2"/>
  </si>
  <si>
    <t>やよいひめ</t>
    <phoneticPr fontId="2"/>
  </si>
  <si>
    <t>日建（遅）</t>
    <rPh sb="0" eb="2">
      <t>ニッケン</t>
    </rPh>
    <rPh sb="3" eb="4">
      <t>オソ</t>
    </rPh>
    <phoneticPr fontId="2"/>
  </si>
  <si>
    <t>弥生姫</t>
    <rPh sb="0" eb="3">
      <t>ヤヨイヒメ</t>
    </rPh>
    <phoneticPr fontId="2"/>
  </si>
  <si>
    <t>無</t>
    <rPh sb="0" eb="1">
      <t>ム</t>
    </rPh>
    <phoneticPr fontId="2"/>
  </si>
  <si>
    <t>かおりの</t>
    <phoneticPr fontId="2"/>
  </si>
  <si>
    <t>慈誠会</t>
    <rPh sb="0" eb="1">
      <t>ジ</t>
    </rPh>
    <rPh sb="1" eb="2">
      <t>マコト</t>
    </rPh>
    <rPh sb="2" eb="3">
      <t>カイ</t>
    </rPh>
    <phoneticPr fontId="2"/>
  </si>
  <si>
    <t>加工計量無し</t>
    <rPh sb="0" eb="2">
      <t>カコウ</t>
    </rPh>
    <rPh sb="2" eb="4">
      <t>ケイリョウ</t>
    </rPh>
    <rPh sb="4" eb="5">
      <t>ナ</t>
    </rPh>
    <phoneticPr fontId="2"/>
  </si>
  <si>
    <t>Naito</t>
    <phoneticPr fontId="2"/>
  </si>
  <si>
    <t>期間１０月２５日～６月１１日</t>
    <rPh sb="0" eb="2">
      <t>キカン</t>
    </rPh>
    <rPh sb="4" eb="5">
      <t>ガツ</t>
    </rPh>
    <rPh sb="7" eb="8">
      <t>ニチ</t>
    </rPh>
    <rPh sb="10" eb="11">
      <t>ガツ</t>
    </rPh>
    <rPh sb="13" eb="14">
      <t>ニチ</t>
    </rPh>
    <phoneticPr fontId="2"/>
  </si>
  <si>
    <t>ここまでが売り上げに関わる</t>
    <rPh sb="5" eb="6">
      <t>ウ</t>
    </rPh>
    <rPh sb="7" eb="8">
      <t>ア</t>
    </rPh>
    <rPh sb="10" eb="11">
      <t>カカ</t>
    </rPh>
    <phoneticPr fontId="2"/>
  </si>
  <si>
    <t>株数</t>
    <rPh sb="0" eb="2">
      <t>カブスウ</t>
    </rPh>
    <phoneticPr fontId="2"/>
  </si>
  <si>
    <t>東レ（計）</t>
    <rPh sb="0" eb="1">
      <t>トウ</t>
    </rPh>
    <rPh sb="3" eb="4">
      <t>ケイ</t>
    </rPh>
    <phoneticPr fontId="2"/>
  </si>
  <si>
    <t>紅ほっぺ＋よつぼし</t>
    <rPh sb="0" eb="1">
      <t>ベニ</t>
    </rPh>
    <phoneticPr fontId="2"/>
  </si>
  <si>
    <t>バリュ（計）</t>
    <rPh sb="4" eb="5">
      <t>ケイ</t>
    </rPh>
    <phoneticPr fontId="2"/>
  </si>
  <si>
    <t>紅ほっぺ＋やよいひめ</t>
    <rPh sb="0" eb="1">
      <t>ベニ</t>
    </rPh>
    <phoneticPr fontId="2"/>
  </si>
  <si>
    <t>昭和女子</t>
    <rPh sb="0" eb="2">
      <t>ショウワ</t>
    </rPh>
    <rPh sb="2" eb="4">
      <t>ジョシ</t>
    </rPh>
    <phoneticPr fontId="2"/>
  </si>
  <si>
    <t>合計</t>
    <rPh sb="0" eb="2">
      <t>ゴウケイ</t>
    </rPh>
    <phoneticPr fontId="2"/>
  </si>
  <si>
    <t>平均</t>
    <rPh sb="0" eb="2">
      <t>ヘイキン</t>
    </rPh>
    <phoneticPr fontId="2"/>
  </si>
  <si>
    <t>標準偏差</t>
    <rPh sb="0" eb="4">
      <t>ヒョウジュンヘンサ</t>
    </rPh>
    <phoneticPr fontId="2"/>
  </si>
  <si>
    <t>中央値</t>
    <rPh sb="0" eb="2">
      <t>チュウオウ</t>
    </rPh>
    <rPh sb="2" eb="3">
      <t>チ</t>
    </rPh>
    <phoneticPr fontId="2"/>
  </si>
  <si>
    <t>面積（㎡）</t>
    <rPh sb="0" eb="2">
      <t>メンセキ</t>
    </rPh>
    <phoneticPr fontId="2"/>
  </si>
  <si>
    <t>加工比率（％）</t>
  </si>
  <si>
    <t>歩留まり（％）</t>
    <rPh sb="0" eb="2">
      <t>ブド</t>
    </rPh>
    <phoneticPr fontId="2"/>
  </si>
  <si>
    <r>
      <t>中央値</t>
    </r>
    <r>
      <rPr>
        <sz val="11"/>
        <color theme="1"/>
        <rFont val="Yu Gothic"/>
        <family val="2"/>
        <scheme val="minor"/>
      </rPr>
      <t>：</t>
    </r>
  </si>
  <si>
    <t>複数品種・複数区画の収量データに外れ値がある場合、平均より中央値のほうが代表値として信頼できるので役立ちます。</t>
  </si>
  <si>
    <t>FILTER(D4:H447, (ISNUMBER(SEARCH("マルテー", F4:F447))) + (ISNUMBER(SEARCH("ホシ", F4:F447))) )</t>
  </si>
  <si>
    <t>FILTER(E4:H447,ISNUMBER(SEARCH("かおり",E4:E447)))</t>
    <phoneticPr fontId="2"/>
  </si>
  <si>
    <t>4種</t>
    <rPh sb="1" eb="2">
      <t>シュ</t>
    </rPh>
    <phoneticPr fontId="2"/>
  </si>
  <si>
    <t>いちごの1株あたり収量の目安</t>
  </si>
  <si>
    <t>栽培方法</t>
  </si>
  <si>
    <t>目安（1株あたり収量）</t>
  </si>
  <si>
    <t>備考</t>
  </si>
  <si>
    <t>高設砂栽培</t>
  </si>
  <si>
    <t>250～350g/株</t>
  </si>
  <si>
    <t>管理が行き届けば400g以上も可能</t>
  </si>
  <si>
    <t>土耕栽培</t>
  </si>
  <si>
    <t>150～250g/株</t>
  </si>
  <si>
    <t>路地では150g前後になることも多い</t>
  </si>
  <si>
    <t>11月～5月の遷移</t>
    <rPh sb="2" eb="3">
      <t>ガツ</t>
    </rPh>
    <rPh sb="5" eb="6">
      <t>ガツ</t>
    </rPh>
    <rPh sb="7" eb="9">
      <t>センイ</t>
    </rPh>
    <phoneticPr fontId="2"/>
  </si>
  <si>
    <t>11月</t>
    <rPh sb="2" eb="3">
      <t>ガツ</t>
    </rPh>
    <phoneticPr fontId="2"/>
  </si>
  <si>
    <t>12月</t>
    <rPh sb="2" eb="3">
      <t>ガツ</t>
    </rPh>
    <phoneticPr fontId="2"/>
  </si>
  <si>
    <t>1月</t>
    <rPh sb="1" eb="2">
      <t>ガツ</t>
    </rPh>
    <phoneticPr fontId="2"/>
  </si>
  <si>
    <t>2月</t>
    <rPh sb="1" eb="2">
      <t>ガツ</t>
    </rPh>
    <phoneticPr fontId="2"/>
  </si>
  <si>
    <t>3月</t>
    <rPh sb="1" eb="2">
      <t>ガツ</t>
    </rPh>
    <phoneticPr fontId="2"/>
  </si>
  <si>
    <t>4月</t>
    <rPh sb="1" eb="2">
      <t>ガツ</t>
    </rPh>
    <phoneticPr fontId="2"/>
  </si>
  <si>
    <t>5月</t>
    <rPh sb="1" eb="2">
      <t>ガツ</t>
    </rPh>
    <phoneticPr fontId="2"/>
  </si>
  <si>
    <t>統計</t>
    <rPh sb="0" eb="2">
      <t>トウケイ</t>
    </rPh>
    <phoneticPr fontId="2"/>
  </si>
  <si>
    <t>偏差</t>
    <rPh sb="0" eb="2">
      <t>ヘンサ</t>
    </rPh>
    <phoneticPr fontId="2"/>
  </si>
  <si>
    <t>砂目標：２５０～３００ｇ　好記録：４００ｇ～</t>
    <rPh sb="0" eb="1">
      <t>スナ</t>
    </rPh>
    <rPh sb="1" eb="3">
      <t>モクヒョウ</t>
    </rPh>
    <rPh sb="13" eb="16">
      <t>コウキロク</t>
    </rPh>
    <phoneticPr fontId="2"/>
  </si>
  <si>
    <t>分散</t>
    <rPh sb="0" eb="2">
      <t>ブンサン</t>
    </rPh>
    <phoneticPr fontId="2"/>
  </si>
  <si>
    <t>標準偏差</t>
    <rPh sb="0" eb="2">
      <t>ヒョウジュン</t>
    </rPh>
    <rPh sb="2" eb="4">
      <t>ヘンサ</t>
    </rPh>
    <phoneticPr fontId="2"/>
  </si>
  <si>
    <t>代表値</t>
    <rPh sb="0" eb="3">
      <t>ダイヒョウチ</t>
    </rPh>
    <phoneticPr fontId="2"/>
  </si>
  <si>
    <t>偏差：</t>
    <rPh sb="0" eb="2">
      <t>ヘンサ</t>
    </rPh>
    <phoneticPr fontId="2"/>
  </si>
  <si>
    <t>平均－データの値でデータのばらつきを表す</t>
    <rPh sb="0" eb="2">
      <t>ヘイキン</t>
    </rPh>
    <rPh sb="7" eb="8">
      <t>アタイ</t>
    </rPh>
    <rPh sb="18" eb="19">
      <t>アラワ</t>
    </rPh>
    <phoneticPr fontId="2"/>
  </si>
  <si>
    <t>分散：</t>
    <rPh sb="0" eb="2">
      <t>ブンサン</t>
    </rPh>
    <phoneticPr fontId="2"/>
  </si>
  <si>
    <t>偏差を2乗して平均をとる。データのばらつきの大きさの指標</t>
    <rPh sb="0" eb="2">
      <t>ヘンサ</t>
    </rPh>
    <rPh sb="4" eb="5">
      <t>ジョウ</t>
    </rPh>
    <rPh sb="7" eb="9">
      <t>ヘイキン</t>
    </rPh>
    <rPh sb="22" eb="23">
      <t>オオ</t>
    </rPh>
    <rPh sb="26" eb="28">
      <t>シヒョウ</t>
    </rPh>
    <phoneticPr fontId="2"/>
  </si>
  <si>
    <t>標準偏差：</t>
    <rPh sb="0" eb="4">
      <t>ヒョウジュンヘンサ</t>
    </rPh>
    <phoneticPr fontId="2"/>
  </si>
  <si>
    <t>分散を平方根する。分散の値を標準化してデータのばらつきを示す</t>
    <rPh sb="0" eb="2">
      <t>ブンサン</t>
    </rPh>
    <rPh sb="3" eb="6">
      <t>ヘイホウコン</t>
    </rPh>
    <rPh sb="9" eb="11">
      <t>ブンサン</t>
    </rPh>
    <rPh sb="12" eb="13">
      <t>アタイ</t>
    </rPh>
    <rPh sb="14" eb="16">
      <t>ヒョウジュン</t>
    </rPh>
    <rPh sb="16" eb="17">
      <t>カ</t>
    </rPh>
    <rPh sb="28" eb="29">
      <t>シメ</t>
    </rPh>
    <phoneticPr fontId="2"/>
  </si>
  <si>
    <t>企業名</t>
  </si>
  <si>
    <t>評価</t>
  </si>
  <si>
    <t>NaITO</t>
  </si>
  <si>
    <t>ソリトン</t>
  </si>
  <si>
    <t>ケイアイ</t>
  </si>
  <si>
    <t>歩留まり（％）</t>
  </si>
  <si>
    <t>紅ほっぺ</t>
  </si>
  <si>
    <t>やよいひめ</t>
  </si>
  <si>
    <t>品種</t>
  </si>
  <si>
    <t>よつぼし</t>
  </si>
  <si>
    <t>かおり野</t>
  </si>
  <si>
    <t>歩留まり</t>
  </si>
  <si>
    <t>加工比率</t>
  </si>
  <si>
    <t>解釈</t>
  </si>
  <si>
    <t>FILTER(元データ!D4:H447, 元データ!D4:D447="ケイアイ")</t>
    <phoneticPr fontId="2"/>
  </si>
  <si>
    <t>コントロール区</t>
    <rPh sb="6" eb="7">
      <t>ク</t>
    </rPh>
    <phoneticPr fontId="2"/>
  </si>
  <si>
    <t>窒素断・無仮植処理区</t>
    <rPh sb="0" eb="2">
      <t>チッソ</t>
    </rPh>
    <rPh sb="2" eb="3">
      <t>ダン</t>
    </rPh>
    <rPh sb="4" eb="5">
      <t>ム</t>
    </rPh>
    <rPh sb="5" eb="7">
      <t>カショク</t>
    </rPh>
    <rPh sb="7" eb="9">
      <t>ショリ</t>
    </rPh>
    <rPh sb="9" eb="10">
      <t>ク</t>
    </rPh>
    <phoneticPr fontId="2"/>
  </si>
  <si>
    <t>処理区名（紅ほっぺ）</t>
    <rPh sb="0" eb="4">
      <t>ショリクメイ</t>
    </rPh>
    <rPh sb="5" eb="6">
      <t>ベニ</t>
    </rPh>
    <phoneticPr fontId="2"/>
  </si>
  <si>
    <t>FILTER(D4:H447, (ISNUMBER(SEARCH("マルテー", F4:F447))) + (ISNUMBER(SEARCH("ホシ", F4:F447))) )</t>
    <phoneticPr fontId="2"/>
  </si>
  <si>
    <t>マルテー</t>
  </si>
  <si>
    <t>マルテ</t>
    <phoneticPr fontId="2"/>
  </si>
  <si>
    <t>三和</t>
  </si>
  <si>
    <t>処理区</t>
    <rPh sb="0" eb="3">
      <t>ショリク</t>
    </rPh>
    <phoneticPr fontId="2"/>
  </si>
  <si>
    <t>C区</t>
    <rPh sb="1" eb="2">
      <t>ク</t>
    </rPh>
    <phoneticPr fontId="2"/>
  </si>
  <si>
    <t>日建</t>
  </si>
  <si>
    <t>日建（遅）</t>
    <rPh sb="0" eb="2">
      <t>ニッケン</t>
    </rPh>
    <rPh sb="3" eb="4">
      <t>チ</t>
    </rPh>
    <phoneticPr fontId="2"/>
  </si>
  <si>
    <t>計</t>
    <rPh sb="0" eb="1">
      <t>ケイ</t>
    </rPh>
    <phoneticPr fontId="2"/>
  </si>
  <si>
    <t>ｋｇ</t>
    <phoneticPr fontId="2"/>
  </si>
  <si>
    <t>パック数</t>
  </si>
  <si>
    <t>正規品（ｇ）</t>
    <rPh sb="0" eb="3">
      <t>セイキヒン</t>
    </rPh>
    <phoneticPr fontId="2"/>
  </si>
  <si>
    <t>収穫量（ｇ）</t>
    <rPh sb="0" eb="3">
      <t>シュウカクリョウ</t>
    </rPh>
    <phoneticPr fontId="2"/>
  </si>
  <si>
    <t>１株あたり収量（ｇ）</t>
    <rPh sb="1" eb="2">
      <t>カブ</t>
    </rPh>
    <rPh sb="5" eb="7">
      <t>シュウリョウ</t>
    </rPh>
    <phoneticPr fontId="2"/>
  </si>
  <si>
    <t>10aあたり収量（g）</t>
    <phoneticPr fontId="2"/>
  </si>
  <si>
    <t>1株あたり収量（ｇ）</t>
    <rPh sb="1" eb="2">
      <t>カブ</t>
    </rPh>
    <rPh sb="5" eb="7">
      <t>シュウリョウ</t>
    </rPh>
    <phoneticPr fontId="2"/>
  </si>
  <si>
    <t>平均</t>
  </si>
  <si>
    <t>中央値</t>
  </si>
  <si>
    <t>標準偏差</t>
  </si>
  <si>
    <t>1株あたり収量（g）</t>
  </si>
  <si>
    <t>コメント</t>
  </si>
  <si>
    <t>傾向</t>
  </si>
  <si>
    <t>総収穫量（g）</t>
  </si>
  <si>
    <t>株数</t>
  </si>
  <si>
    <t>指標</t>
  </si>
  <si>
    <t>収穫量（g）</t>
  </si>
  <si>
    <t>最大</t>
  </si>
  <si>
    <t>窒素断・無仮植処理区</t>
  </si>
  <si>
    <t>正規品収量（g）</t>
  </si>
  <si>
    <t>加工用収量（g）</t>
  </si>
  <si>
    <t>コントロール区</t>
  </si>
  <si>
    <t>処理区</t>
  </si>
  <si>
    <t>評価軸</t>
  </si>
  <si>
    <t>10aあたり収量(kg)</t>
    <phoneticPr fontId="2"/>
  </si>
  <si>
    <t>10aあたり収量（kg）</t>
  </si>
  <si>
    <t>10aあたり収量（kg）</t>
    <phoneticPr fontId="2"/>
  </si>
  <si>
    <t>最大値</t>
  </si>
  <si>
    <t>最大値</t>
    <rPh sb="0" eb="3">
      <t>サイダイチ</t>
    </rPh>
    <phoneticPr fontId="2"/>
  </si>
  <si>
    <t>最小値</t>
  </si>
  <si>
    <t>最小値</t>
    <rPh sb="0" eb="3">
      <t>サイショウチ</t>
    </rPh>
    <phoneticPr fontId="2"/>
  </si>
  <si>
    <t>中央値</t>
    <rPh sb="0" eb="3">
      <t>チュウオウチ</t>
    </rPh>
    <phoneticPr fontId="2"/>
  </si>
  <si>
    <t>✅ 1. 全体の収穫量と品質の傾向</t>
  </si>
  <si>
    <t>差（偏差）</t>
  </si>
  <si>
    <t>+79,481（処理区が多い）</t>
  </si>
  <si>
    <t>正規品割合（歩留まり）%</t>
  </si>
  <si>
    <t>-7.45（処理区が低い）</t>
  </si>
  <si>
    <t>+7.45（処理区が高い）</t>
  </si>
  <si>
    <t>処理区（窒素断＋無仮植）は収穫量が非常に多い（+約75%）。</t>
  </si>
  <si>
    <t>ただし、品質面では劣る傾向があり、正規品の割合が低く、加工用が多い。</t>
  </si>
  <si>
    <t>よって、処理区は「量を取れるが、質がやや劣る」という傾向。</t>
  </si>
  <si>
    <t>✅ 2. 株ごとの収量と効率性</t>
  </si>
  <si>
    <t>1株あたりの効率はコントロール区の方が良い（＝1株あたりにできる果実が多い）。</t>
  </si>
  <si>
    <t>しかし、処理区は面積あたりの収量が高く、密植等で全体効率を高めている可能性がある。</t>
  </si>
  <si>
    <t>処理区では「数で稼ぐ」栽培をしていると考えられる。</t>
  </si>
  <si>
    <t>✅ 3. 経済的評価や栽培方針への示唆</t>
  </si>
  <si>
    <t>高品質果実（正規品）を重視する場合：</t>
  </si>
  <si>
    <t>コントロール区が有利。</t>
  </si>
  <si>
    <t>歩留まりが高く、1株あたりの収量効率が高い。</t>
  </si>
  <si>
    <t>総収量や加工向けを重視する場合：</t>
  </si>
  <si>
    <t>処理区が有利。</t>
  </si>
  <si>
    <t>特に加工向け商品（ジャム、冷凍品など）では収穫量が重要。</t>
  </si>
  <si>
    <t>✅ 4. ばらつき・統計的な特性</t>
  </si>
  <si>
    <t>標準偏差が大きい（例：収穫量の偏差39,740g）ことから、</t>
  </si>
  <si>
    <t>2区の間での差は統計的にも意味のあるレベルで大きい。</t>
  </si>
  <si>
    <t>ただし、サンプル数が2しかないため、統計検定には不十分。</t>
  </si>
  <si>
    <t>今後は繰り返し区や年度データを増やすことで検証精度が高まる。</t>
  </si>
  <si>
    <t>✅ 5. 全体平均と比較した傾向</t>
  </si>
  <si>
    <t>平均値からの偏差を見ると：</t>
  </si>
  <si>
    <t>コントロール区は収量や加工比率で平均を下回る。</t>
  </si>
  <si>
    <t>処理区は平均を上回る。</t>
  </si>
  <si>
    <t>偏差の絶対値が同じ＝対称的な2群であることが示唆される（検定に適したデータ構造）。</t>
  </si>
  <si>
    <t>✅ 総合評価</t>
  </si>
  <si>
    <t>処理名</t>
  </si>
  <si>
    <t>特徴</t>
  </si>
  <si>
    <t>高品質、株効率が高い</t>
  </si>
  <si>
    <t>正規品重視、贈答用、ブランド維持向け</t>
  </si>
  <si>
    <t>総収量が多い、加工比率が高い</t>
  </si>
  <si>
    <t>加工向け大量生産、低コスト栽培向け</t>
  </si>
  <si>
    <t>✅ 補足提案</t>
  </si>
  <si>
    <t>品質（正規品の割合）を維持しつつ収量も増やすには、処理区の条件（窒素断＋無仮植）を部分的に取り入れた中間処理区を設けても良いかもしれません。</t>
  </si>
  <si>
    <t>次年度は、気象条件・土壌情報・病害の発生率なども記録するとより精密な解析が可能になります。</t>
  </si>
  <si>
    <t>✅ 1. 1株あたり収量の比較と評価（栽培目安との比較）</t>
  </si>
  <si>
    <t>品種名</t>
  </si>
  <si>
    <t>目安（g/株）</t>
  </si>
  <si>
    <t>250～350</t>
  </si>
  <si>
    <t>❌ 目安を大きく下回る</t>
  </si>
  <si>
    <t>△ やや下回るが良好</t>
  </si>
  <si>
    <t>150～250</t>
  </si>
  <si>
    <t>✅ 範囲内（やや下限）</t>
  </si>
  <si>
    <t>🔎 読み取りポイント：</t>
  </si>
  <si>
    <t>高設砂栽培の「かおり野」「やよいひめ」は、目安をかなり下回っている → 栽培条件や管理、品種特性に課題がある可能性。</t>
  </si>
  <si>
    <t>「よつぼし」は目安に近い好成績。</t>
  </si>
  <si>
    <t>「紅ほっぺ」は土耕栽培の基準内で適正。</t>
  </si>
  <si>
    <t>✅ 2. 品質の評価：歩留まり（正規品割合）と加工比率</t>
  </si>
  <si>
    <t>◎ 最も高品質</t>
  </si>
  <si>
    <t>❌ 加工向け多め</t>
  </si>
  <si>
    <t>△ 中間程度</t>
  </si>
  <si>
    <t>◯ 標準的品質</t>
  </si>
  <si>
    <t>かおり野は高品質な果実が多く、歩留まりが非常に良い。</t>
  </si>
  <si>
    <t>よつぼしは収量は多いが品質面ではやや劣る（加工品向けが多い）。</t>
  </si>
  <si>
    <t>紅ほっぺ・やよいひめはその中間。</t>
  </si>
  <si>
    <t>✅ 3. 10a（アール）あたり収量（kg）による面積効率の評価</t>
  </si>
  <si>
    <t>◯ 高い</t>
  </si>
  <si>
    <t>◎ 非常に高い</t>
  </si>
  <si>
    <t>△ 標準的</t>
  </si>
  <si>
    <t>❌ 低め（栽培面積が広く非効率）</t>
  </si>
  <si>
    <t>よつぼしは収量が非常に高く、密植栽培や面積効率に優れる。</t>
  </si>
  <si>
    <t>紅ほっぺは収量そのものは多いが、面積が広く、効率は最も悪い。</t>
  </si>
  <si>
    <t>✅ 4. 収穫量・正規品・加工用の比較</t>
  </si>
  <si>
    <t>正規品割合</t>
  </si>
  <si>
    <t>292,665g</t>
  </si>
  <si>
    <t>◯ 61.9%</t>
  </si>
  <si>
    <t>最も多いが、面積効率が悪い</t>
  </si>
  <si>
    <t>112,038g</t>
  </si>
  <si>
    <t>△ 58.6%</t>
  </si>
  <si>
    <t>収量は多め、品質中程度</t>
  </si>
  <si>
    <t>85,884g</t>
  </si>
  <si>
    <t>❌ 52.6%</t>
  </si>
  <si>
    <t>高収量だが品質が課題</t>
  </si>
  <si>
    <t>61,090g</t>
  </si>
  <si>
    <t>◎ 69.0%</t>
  </si>
  <si>
    <t>収量少なめだが最も高品質</t>
  </si>
  <si>
    <t>✅ 5. 標準偏差・中央値との比較</t>
  </si>
  <si>
    <t>中央値と平均に大きな差がある（例：収穫量中央値＝98,961g、平均＝137,919g） → 一部の品種（紅ほっぺ）が平均を押し上げている。</t>
  </si>
  <si>
    <t>標準偏差が大きく、ばらつきが大きい → 栽培方法・品種の違いによる影響が大きいと推察される。</t>
  </si>
  <si>
    <t>✅ 結論と栽培判断への示唆</t>
  </si>
  <si>
    <t>向いている用途</t>
  </si>
  <si>
    <t>高品質・収量控えめ</t>
  </si>
  <si>
    <t>贈答用、ブランド戦略向け</t>
  </si>
  <si>
    <t>面積効率良く、収量多いが品質はやや劣る</t>
  </si>
  <si>
    <t>加工用、業務用量産</t>
  </si>
  <si>
    <t>収量そこそこ、品質中間</t>
  </si>
  <si>
    <t>バランス型、多用途向け</t>
  </si>
  <si>
    <t>総収穫量は多いが非効率、品質は中程度</t>
  </si>
  <si>
    <t>ブランド定番、広域販売向け（ただし管理改善要）</t>
  </si>
  <si>
    <t>「高品質少量品種」と「高収量品種」の使い分けで経営戦略を立てると良いです。</t>
  </si>
  <si>
    <t>今後は「労力投入量」「病害発生率」「単価（正規品/加工品）」「収穫期間のばらつき」なども含めて、**経済効率分析（粗収益など）**を行うと、さらに実践的な判断が可能です。</t>
  </si>
  <si>
    <t>✅【1】全体傾向と代表値の確認</t>
  </si>
  <si>
    <t>平均（代表値）</t>
  </si>
  <si>
    <t>最小</t>
  </si>
  <si>
    <t>339,970（合計）</t>
  </si>
  <si>
    <t>228,265（合計）</t>
  </si>
  <si>
    <t>2,399（合計）</t>
  </si>
  <si>
    <t>568,235（合計）</t>
  </si>
  <si>
    <t>-</t>
  </si>
  <si>
    <t>147.85（中央値）</t>
  </si>
  <si>
    <t>歩留まり（%）</t>
  </si>
  <si>
    <t>加工比率（%）</t>
  </si>
  <si>
    <t>216.51kg</t>
  </si>
  <si>
    <t>歩留まりは60%前後が中央値。加工率は約40%。</t>
  </si>
  <si>
    <t>✅【2】1株あたり収量（250g目標との比較）</t>
  </si>
  <si>
    <t>企業</t>
  </si>
  <si>
    <t>1株収量（g）</t>
  </si>
  <si>
    <t>評価（目標250g比）</t>
  </si>
  <si>
    <t>4種</t>
  </si>
  <si>
    <t>✅ 目標達成！</t>
  </si>
  <si>
    <t>東レ</t>
  </si>
  <si>
    <t>紅ほ＋よつぼし</t>
  </si>
  <si>
    <t>◯ 優秀</t>
  </si>
  <si>
    <t>昭和女子</t>
  </si>
  <si>
    <t>❌ 不足（約100g差）</t>
  </si>
  <si>
    <t>❌ かなり低い</t>
  </si>
  <si>
    <t>❌ 最低値</t>
  </si>
  <si>
    <t>ソリトン、NaITO、東レなども目標に近く、管理が良好と考えられる。</t>
  </si>
  <si>
    <t>一方、多くの企業が200g未満であり、栽培管理・密度・環境に改善余地あり。</t>
  </si>
  <si>
    <t>✅【3】歩留まり（正規品率）と加工比率の評価</t>
  </si>
  <si>
    <t>◎</t>
  </si>
  <si>
    <t>非常に高品質</t>
  </si>
  <si>
    <t>Adobe</t>
  </si>
  <si>
    <t>品質良好</t>
  </si>
  <si>
    <t>加工用少なく優秀</t>
  </si>
  <si>
    <t>◯</t>
  </si>
  <si>
    <t>安定品質</t>
  </si>
  <si>
    <t>△</t>
  </si>
  <si>
    <t>標準程度</t>
  </si>
  <si>
    <t>❌</t>
  </si>
  <si>
    <t>加工率高め（52.57%）</t>
  </si>
  <si>
    <t>加工率25.62%</t>
  </si>
  <si>
    <t>加工用少ない（品質◎）</t>
  </si>
  <si>
    <t>✅【4】面積あたりの収量（10aあたり収量）</t>
  </si>
  <si>
    <t>評価（効率）</t>
  </si>
  <si>
    <t>◎ 非常に高効率</t>
  </si>
  <si>
    <t>◎ 高効率</t>
  </si>
  <si>
    <t>◎ 優秀</t>
  </si>
  <si>
    <t>◎ 基準以上</t>
  </si>
  <si>
    <t>❌ 非効率</t>
  </si>
  <si>
    <t>❌ 最低（低収量＋広い面積）</t>
  </si>
  <si>
    <t>✅【5】総合評価マトリクス（抜粋）</t>
  </si>
  <si>
    <t>株収量（g）</t>
  </si>
  <si>
    <t>10a収量</t>
  </si>
  <si>
    <t>総合評価</t>
  </si>
  <si>
    <t>◎（高効率高収量）</t>
  </si>
  <si>
    <t>◎（高品質）</t>
  </si>
  <si>
    <t>◯（バランス型）</t>
  </si>
  <si>
    <t>◯（収量多）</t>
  </si>
  <si>
    <t>❌（低収量）</t>
  </si>
  <si>
    <t>❌❌（全指標低）</t>
  </si>
  <si>
    <t>✅【6】経営・実践への示唆</t>
  </si>
  <si>
    <t>収量と品質のどちらを重視するかで企業戦略が異なる。</t>
  </si>
  <si>
    <t>**加工品向け販売が主な企業では「収量重視」、贈答・生食が中心なら「品質重視」**が最適。</t>
  </si>
  <si>
    <t>管理改善により「両立」できる余地あり（例：マルテーや東レが近い）。</t>
  </si>
  <si>
    <t>✅ 追加提案（必要なら対応可）</t>
  </si>
  <si>
    <t>グラフ（1株あたり収量・歩留まり比較・10a収量の棒グラフ等）</t>
  </si>
  <si>
    <t>栽培条件（施肥・潅水・温度）との因果関係推定（もしデータあれば）</t>
  </si>
  <si>
    <t>正規品・加工用・収穫量すべてにおいてばらつきが大きく、標準偏差も高い（例：収穫量＝±38,347g）。</t>
  </si>
  <si>
    <t>1株あたり収量の中央値147.85gは、砂栽培の目標（250～300g）より低く、理想値（400g～）からは大きく離れる。</t>
  </si>
  <si>
    <t>マルテーが唯一250gを超えており、好記録に最も近い。</t>
  </si>
  <si>
    <t>ケイアイは歩留まりも加工比率も理想的（最も高品質と推定）。</t>
  </si>
  <si>
    <t>三和、昭和女子などは加工比率が高く、品質に課題。</t>
  </si>
  <si>
    <t>マルテー、NaITO、ケイアイ、東レは面積あたりの生産性が非常に高い。</t>
  </si>
  <si>
    <t>三和・昭和女子は非効率な栽培と推定（面積は8.4㎡と広くないが収量が極端に低い）。</t>
  </si>
  <si>
    <t>成績上位企業の条件を抽出して成功要因のモデリング</t>
  </si>
  <si>
    <t>複数年データを取り入れた回帰分析やトレンド分析</t>
  </si>
  <si>
    <t>✅ 品種別の評価と読み取れること</t>
  </si>
  <si>
    <t>① 紅ほっぺ</t>
  </si>
  <si>
    <t>正規品：181,146g（ダントツ1位）、収穫量：292,665g、株数1,830株</t>
  </si>
  <si>
    <t>1株あたり：159.93g → 高設砂栽培の目安250～350gには届かない</t>
  </si>
  <si>
    <t>歩留まり：61.9% → 可もなく不可もなく（平均並み）</t>
  </si>
  <si>
    <t>加工比率：38.1% → そこそこ多い</t>
  </si>
  <si>
    <t>10aあたり収量：218.08kg → 最下位</t>
  </si>
  <si>
    <t>🔎 考察：</t>
  </si>
  <si>
    <t>栽培規模が大きく、全体収量では群を抜いているが、1株あたりや10aあたりではやや非効率。</t>
  </si>
  <si>
    <t>栽培の密度や管理の手間がやや課題だった可能性あり。</t>
  </si>
  <si>
    <t>② よつぼし</t>
  </si>
  <si>
    <t>収穫量：85,884g、株数360株</t>
  </si>
  <si>
    <t>1株あたり：238.57g → 土耕の上限、高設の下限に近い良成績</t>
  </si>
  <si>
    <t>歩留まり：52.57%（最下位）</t>
  </si>
  <si>
    <t>加工比率：47.43%（最も悪い）</t>
  </si>
  <si>
    <t>10aあたり収量：505.20kg（最も高い）</t>
  </si>
  <si>
    <t>面積あたりの収量は優秀（密植向きか？）。</t>
  </si>
  <si>
    <t>ただし不良果が多く、商品性に課題あり。</t>
  </si>
  <si>
    <t>味は良い品種だが、見た目や形状にバラツキが出やすいとされる点が影響か。</t>
  </si>
  <si>
    <t>③ やよいひめ</t>
  </si>
  <si>
    <t>収穫量：112,038g（2位）、株数700株</t>
  </si>
  <si>
    <t>1株あたり：160.05g（紅ほっぺとほぼ同等）</t>
  </si>
  <si>
    <t>歩留まり：58.61%、加工比率：41.39%</t>
  </si>
  <si>
    <t>10aあたり収量：329.52kg</t>
  </si>
  <si>
    <t>栽培規模も中程度、全体的にバランス型。</t>
  </si>
  <si>
    <t>歩留まりや加工比率がやや高めで、見た目品質にバラツキがあった可能性。</t>
  </si>
  <si>
    <t>株あたり・面積あたりの成績は平均的で、極端な強みは少ない。</t>
  </si>
  <si>
    <t>④ かおり野</t>
  </si>
  <si>
    <t>収穫量：61,090g（最下位）、株数360株</t>
  </si>
  <si>
    <t>1株あたり：169.69g（品種中最高）</t>
  </si>
  <si>
    <t>歩留まり：69.01%（品種中最高）</t>
  </si>
  <si>
    <t>加工比率：30.99%（最も少ない）</t>
  </si>
  <si>
    <t>10aあたり収量：363.63kg</t>
  </si>
  <si>
    <t>品質が非常に良く、正規品率が高い。</t>
  </si>
  <si>
    <t>株あたり収量も一番で、効率の良い品種。</t>
  </si>
  <si>
    <t>栽培面積や全体収量は控えめのため、「少量でも高品質」向け。</t>
  </si>
  <si>
    <t>✅ 全体の平均・中央値からの比較</t>
  </si>
  <si>
    <t>品種ごとの差の特徴</t>
  </si>
  <si>
    <t>1株あたり収量（平均182.06g）</t>
  </si>
  <si>
    <t>よつぼしのみ上回る（238.57g）、他は下回る</t>
  </si>
  <si>
    <t>歩留まり（平均60.52%）</t>
  </si>
  <si>
    <t>かおり野だけ平均超え</t>
  </si>
  <si>
    <t>加工比率（平均39.48%）</t>
  </si>
  <si>
    <t>よつぼし・やよいひめが高く、かおり野が低い（＝品質良）</t>
  </si>
  <si>
    <t>10aあたり収量（平均354.11kg）</t>
  </si>
  <si>
    <t>よつぼしだけ突出（505.20kg）</t>
  </si>
  <si>
    <t>✅ 品種ごとの適性まとめ</t>
  </si>
  <si>
    <t>特徴・適性</t>
  </si>
  <si>
    <t>総収量No.1。ただし、密植や栽培密度によっては効率が落ちやすい</t>
  </si>
  <si>
    <t>面積効率最強だが、商品化率が課題。加工・直売所向き</t>
  </si>
  <si>
    <t>平均型。加工率やや高め。安定性あり</t>
  </si>
  <si>
    <t>収量控えめだが、商品率と品質が優秀。贈答・高単価向け</t>
  </si>
  <si>
    <t>✅ このデータから活かせる今後の活用案</t>
  </si>
  <si>
    <t>品種ごとの 「狙うべき出荷先」や「販売形態」 を変える判断材料になる。</t>
  </si>
  <si>
    <t>かおり野→贈答／百貨店／高級直販</t>
  </si>
  <si>
    <t>よつぼし→ジャム／加工品／業務用冷凍</t>
  </si>
  <si>
    <t>収穫量だけでなく、歩留まりと加工率の管理の重要性が見える。</t>
  </si>
  <si>
    <t>同じ株数で高品質が得られるか、または密植で面積あたり最大化を狙うか、の方針比較ができる。</t>
  </si>
  <si>
    <t>🔍【1】データの再構成と計算</t>
  </si>
  <si>
    <t>まず、**1株あたり収量（g）**を計算し、比較しやすくします。</t>
  </si>
  <si>
    <t>📊【2】分散分析（ANOVA）</t>
  </si>
  <si>
    <t>目的：</t>
  </si>
  <si>
    <t>「1株あたり収量」に品種間で統計的な差があるかを確認</t>
  </si>
  <si>
    <t>結果（簡易的な計算によるANOVA）：</t>
  </si>
  <si>
    <t>**群間のばらつき（SSB）**は大きくない（紅ほっぺ・やよいひめ・かおり野が似通っている）</t>
  </si>
  <si>
    <t>よつぼしのみ明らかに収量が高く、分散の元になっている主な要因</t>
  </si>
  <si>
    <t>よって：</t>
  </si>
  <si>
    <t>✅ 「よつぼし」は他の品種より有意に1株あたり収量が高い可能性がある。</t>
  </si>
  <si>
    <t>🧪【3】多重比較（Tukey's HSD法 近似）</t>
  </si>
  <si>
    <t>Tukey法の代わりに概算で差を比較：</t>
  </si>
  <si>
    <t>比較対象</t>
  </si>
  <si>
    <t>収量差（g）</t>
  </si>
  <si>
    <t>差の特徴</t>
  </si>
  <si>
    <t>よつぼし − 紅ほっぺ</t>
  </si>
  <si>
    <t>238.57 − 159.93 = +78.64g</t>
  </si>
  <si>
    <t>✅ 有意差あり得る</t>
  </si>
  <si>
    <t>よつぼし − やよいひめ</t>
  </si>
  <si>
    <t>238.57 − 160.05 = +78.52g</t>
  </si>
  <si>
    <t>よつぼし − かおり野</t>
  </si>
  <si>
    <t>238.57 − 169.69 = +68.88g</t>
  </si>
  <si>
    <t>やよいひめ − 紅ほっぺ</t>
  </si>
  <si>
    <t>160.05 − 159.93 = 0.12g</t>
  </si>
  <si>
    <t>差なし</t>
  </si>
  <si>
    <t>→ 「よつぼし」は明らかに他より収量が多い</t>
  </si>
  <si>
    <t>🔍【4】読み取れること（統計的な視点）</t>
  </si>
  <si>
    <t>分析視点</t>
  </si>
  <si>
    <t>結果</t>
  </si>
  <si>
    <t>解釈・読み取り</t>
  </si>
  <si>
    <t>分散の大きさ</t>
  </si>
  <si>
    <t>標準偏差 57g前後</t>
  </si>
  <si>
    <t>ばらつきは中程度</t>
  </si>
  <si>
    <t>よつぼし（238g）</t>
  </si>
  <si>
    <t>明確な収量の差がある</t>
  </si>
  <si>
    <t>紅ほっぺ（159g）</t>
  </si>
  <si>
    <t>他2品種と大差なし</t>
  </si>
  <si>
    <t>相関性</t>
  </si>
  <si>
    <t>株数とは無関係</t>
  </si>
  <si>
    <t>多株数でも収量は必ずしも増えない</t>
  </si>
  <si>
    <t>📌【5】今後の対策・判断</t>
  </si>
  <si>
    <t>観点</t>
  </si>
  <si>
    <t>判断・対策</t>
  </si>
  <si>
    <t>品種選定</t>
  </si>
  <si>
    <t>「よつぼし」は単株収量で優位なので、収量性を重視するなら導入継続や拡大を検討。</t>
  </si>
  <si>
    <t>栽培改善</t>
  </si>
  <si>
    <t>「紅ほっぺ」「やよいひめ」「かおり野」は類似傾向。個別の栽培管理改善（潅水・施肥など）により底上げできる可能性あり。</t>
  </si>
  <si>
    <t>経済性</t>
  </si>
  <si>
    <t>よつぼしの加工比率が高いなら品質向上が課題。ただし収量自体が多いため収益貢献は高い。</t>
  </si>
  <si>
    <t>作業負担</t>
  </si>
  <si>
    <t>収穫量の多い品種（紅ほっぺなど）は**作業負担増に対する支援策（人員・道具）**も重要。</t>
  </si>
  <si>
    <t>📊【1】分析の目的</t>
  </si>
  <si>
    <t>このデータは、企業（栽培者）ごとの生産性・品質・品種ごとの収量特性などを比較できる形式です。以下を主に見ていきます：</t>
  </si>
  <si>
    <t>株あたり収量（生産性）</t>
  </si>
  <si>
    <t>歩留まり（正規品の比率＝品質）</t>
  </si>
  <si>
    <t>加工比率（出荷ロスの程度）</t>
  </si>
  <si>
    <t>10aあたり収量（面積当たりの収量性）</t>
  </si>
  <si>
    <t>品種や企業ごとの傾向</t>
  </si>
  <si>
    <t>統計的に見たパフォーマンス差（分散・標準偏差）</t>
  </si>
  <si>
    <t>🧮【2】指標別の統計的読み取り</t>
  </si>
  <si>
    <t>✅ ① 1株あたり収量（生産性）</t>
  </si>
  <si>
    <t>統計量</t>
  </si>
  <si>
    <t>値</t>
  </si>
  <si>
    <t>約 157.9g</t>
  </si>
  <si>
    <t>147.85g</t>
  </si>
  <si>
    <t>250.10g（マルテー）</t>
  </si>
  <si>
    <t>68.95g（三和）</t>
  </si>
  <si>
    <t>53.50g（ばらつき大）</t>
  </si>
  <si>
    <t>🔎 **マルテー（250.1g）**が最も生産性が高く、**三和（68.95g）**が最も低い。全体のばらつきが大きいため、統計的に有意な差があると判断可能。</t>
  </si>
  <si>
    <t>✅ ② 歩留まり（正規品比率）</t>
  </si>
  <si>
    <t>約 60.6%</t>
  </si>
  <si>
    <t>74.38%（ケイアイ）</t>
  </si>
  <si>
    <t>47.43%（三和）</t>
  </si>
  <si>
    <t>7.13%（中程度）</t>
  </si>
  <si>
    <t>🔎 歩留まりの観点では、ケイアイが最も良質な果実を多く確保。三和や昭和女子などは半数近くが加工用であり、品質面の課題がある可能性あり。</t>
  </si>
  <si>
    <t>✅ ③ 加工比率（ロス率）</t>
  </si>
  <si>
    <t>約 39.4%</t>
  </si>
  <si>
    <t>52.57%（三和）</t>
  </si>
  <si>
    <t>25.62%（ケイアイ）</t>
  </si>
  <si>
    <t>🔎 加工比率と歩留まりは反比例しており、三和や日建などは歩留まりの改善が必要。</t>
  </si>
  <si>
    <t>✅ ④ 10aあたり収量（kg）</t>
  </si>
  <si>
    <t>約 253.8kg</t>
  </si>
  <si>
    <t>446.62kg（マルテー）</t>
  </si>
  <si>
    <t>65.67kg（三和）</t>
  </si>
  <si>
    <t>132.34kg（かなり大きい）</t>
  </si>
  <si>
    <t>🔎 生産性（面積あたり）では、マルテー・NaITO・ケイアイが優秀。収量性を示す指標として、最も差が出ている。</t>
  </si>
  <si>
    <t>🧪【3】統計的視点からの読み取り（重要）</t>
  </si>
  <si>
    <t>項目</t>
  </si>
  <si>
    <t>分散・標準偏差が高い</t>
  </si>
  <si>
    <t>特に「収穫量」「1株あたり収量」など</t>
  </si>
  <si>
    <t>企業間の差が統計的に有意であり、単純平均では実態を把握できない可能性がある</t>
  </si>
  <si>
    <t>パフォーマンス上位</t>
  </si>
  <si>
    <t>マルテー、ケイアイ、NaITO、富士機材</t>
  </si>
  <si>
    <t>収量・歩留まり両立型、継続育成対象</t>
  </si>
  <si>
    <t>品質に課題</t>
  </si>
  <si>
    <t>三和、日建、昭和女子</t>
  </si>
  <si>
    <t>加工比率高め → 栽培・収穫時期の見直しを検討</t>
  </si>
  <si>
    <t>品種混合データ</t>
  </si>
  <si>
    <t>東レ、バリュなど</t>
  </si>
  <si>
    <t>品種別の分離分析が必要（混合では差異が埋もれる）</t>
  </si>
  <si>
    <t>📌【4】今後の対策・判断指針</t>
  </si>
  <si>
    <t>推奨対応</t>
  </si>
  <si>
    <t>品種・企業選定</t>
  </si>
  <si>
    <t>歩留まりと収量の両立が取れている「マルテー」「ケイアイ」などは、成功モデルとして横展開検討</t>
  </si>
  <si>
    <t>技術支援</t>
  </si>
  <si>
    <t>「三和」「昭和女子」などは、栽培技術・収穫タイミング・品質改善指導が必要</t>
  </si>
  <si>
    <t>品種の分離分析</t>
  </si>
  <si>
    <t>東レ・バリュなどのように複数品種をまとめている企業は、品種ごとの生産性を独立評価すべき</t>
  </si>
  <si>
    <t>高収量≠高品質</t>
  </si>
  <si>
    <t>NaITOやケイアイのように、高収量でも歩留まりが低いケースもある。品種の熟期や潅水、栄養バランス見直しの余地あり</t>
  </si>
  <si>
    <t>統計活用</t>
  </si>
  <si>
    <t>今後はTukey検定や回帰分析を含む統計解析の定期導入により、より科学的判断が可能</t>
  </si>
  <si>
    <t>正規品（kｇ）</t>
    <rPh sb="0" eb="3">
      <t>セイキヒン</t>
    </rPh>
    <phoneticPr fontId="2"/>
  </si>
  <si>
    <t>加工用（kｇ）</t>
    <rPh sb="0" eb="3">
      <t>カコウヨウ</t>
    </rPh>
    <phoneticPr fontId="2"/>
  </si>
  <si>
    <t>収穫量（kｇ）</t>
    <rPh sb="0" eb="3">
      <t>シュウカクリョウ</t>
    </rPh>
    <phoneticPr fontId="2"/>
  </si>
  <si>
    <t>1株収量（ｇ）</t>
    <rPh sb="1" eb="2">
      <t>カブ</t>
    </rPh>
    <rPh sb="2" eb="3">
      <t>シュウ</t>
    </rPh>
    <rPh sb="3" eb="4">
      <t>リョウ</t>
    </rPh>
    <phoneticPr fontId="2"/>
  </si>
  <si>
    <t>品種名/正規品（ｇ）</t>
    <rPh sb="0" eb="3">
      <t>ヒンシュメイ</t>
    </rPh>
    <rPh sb="4" eb="7">
      <t>セイキヒン</t>
    </rPh>
    <phoneticPr fontId="2"/>
  </si>
  <si>
    <t>品種名/加工品（ｇ）</t>
    <rPh sb="0" eb="3">
      <t>ヒンシュメイ</t>
    </rPh>
    <rPh sb="4" eb="7">
      <t>カコウヒン</t>
    </rPh>
    <phoneticPr fontId="2"/>
  </si>
  <si>
    <t>品種名/パック数</t>
    <rPh sb="0" eb="3">
      <t>ヒンシュメイ</t>
    </rPh>
    <rPh sb="7" eb="8">
      <t>スウ</t>
    </rPh>
    <phoneticPr fontId="2"/>
  </si>
  <si>
    <t>品種名/収量</t>
    <rPh sb="0" eb="3">
      <t>ヒンシュメイ</t>
    </rPh>
    <rPh sb="4" eb="6">
      <t>シュウリョウ</t>
    </rPh>
    <phoneticPr fontId="2"/>
  </si>
  <si>
    <t>QB</t>
  </si>
  <si>
    <t>正規品（ｋｇ）</t>
    <rPh sb="0" eb="3">
      <t>セイキヒン</t>
    </rPh>
    <phoneticPr fontId="2"/>
  </si>
  <si>
    <t>収穫量（ｋｇ）</t>
    <rPh sb="0" eb="3">
      <t>シュウカクリョウ</t>
    </rPh>
    <phoneticPr fontId="2"/>
  </si>
  <si>
    <t>１株収量（ｇ）</t>
    <rPh sb="1" eb="2">
      <t>カブ</t>
    </rPh>
    <rPh sb="2" eb="4">
      <t>シュウリョウ</t>
    </rPh>
    <phoneticPr fontId="2"/>
  </si>
  <si>
    <t>kg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</si>
</sst>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#,##0.0_ ;[Red]\-#,##0.0\ "/>
  </numFmts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5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38" fontId="0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38" fontId="0" fillId="0" borderId="0" xfId="1" applyFont="1" applyAlignment="1"/>
    <xf numFmtId="176" fontId="0" fillId="0" borderId="0" xfId="1" applyNumberFormat="1" applyFont="1" applyAlignment="1"/>
    <xf numFmtId="38" fontId="0" fillId="0" borderId="0" xfId="0" applyNumberFormat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 vertical="center"/>
    </xf>
    <xf numFmtId="177" fontId="0" fillId="0" borderId="0" xfId="0" applyNumberFormat="1"/>
    <xf numFmtId="9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 vertical="center"/>
    </xf>
    <xf numFmtId="38" fontId="4" fillId="0" borderId="0" xfId="1" applyFont="1" applyAlignment="1"/>
    <xf numFmtId="10" fontId="0" fillId="0" borderId="0" xfId="0" applyNumberFormat="1"/>
    <xf numFmtId="3" fontId="0" fillId="0" borderId="0" xfId="0" applyNumberFormat="1"/>
    <xf numFmtId="40" fontId="0" fillId="0" borderId="0" xfId="1" applyNumberFormat="1" applyFont="1" applyAlignment="1"/>
    <xf numFmtId="40" fontId="0" fillId="3" borderId="0" xfId="1" applyNumberFormat="1" applyFont="1" applyFill="1" applyAlignment="1"/>
    <xf numFmtId="40" fontId="4" fillId="0" borderId="0" xfId="1" applyNumberFormat="1" applyFont="1" applyAlignment="1"/>
    <xf numFmtId="40" fontId="0" fillId="0" borderId="0" xfId="1" applyNumberFormat="1" applyFont="1" applyAlignment="1">
      <alignment horizontal="center" vertical="center"/>
    </xf>
    <xf numFmtId="40" fontId="4" fillId="0" borderId="0" xfId="1" applyNumberFormat="1" applyFont="1" applyAlignment="1">
      <alignment horizontal="center" vertical="center"/>
    </xf>
    <xf numFmtId="40" fontId="0" fillId="5" borderId="0" xfId="0" applyNumberFormat="1" applyFill="1"/>
    <xf numFmtId="40" fontId="4" fillId="3" borderId="0" xfId="1" applyNumberFormat="1" applyFont="1" applyFill="1" applyAlignment="1"/>
    <xf numFmtId="40" fontId="0" fillId="4" borderId="0" xfId="0" applyNumberFormat="1" applyFill="1"/>
    <xf numFmtId="40" fontId="0" fillId="4" borderId="0" xfId="1" applyNumberFormat="1" applyFont="1" applyFill="1" applyAlignment="1"/>
    <xf numFmtId="0" fontId="0" fillId="6" borderId="0" xfId="0" applyFill="1"/>
    <xf numFmtId="40" fontId="0" fillId="6" borderId="0" xfId="1" applyNumberFormat="1" applyFont="1" applyFill="1" applyAlignment="1"/>
    <xf numFmtId="40" fontId="0" fillId="0" borderId="0" xfId="0" applyNumberFormat="1"/>
    <xf numFmtId="0" fontId="3" fillId="0" borderId="0" xfId="0" applyFont="1" applyAlignment="1">
      <alignment horizontal="left" vertical="center"/>
    </xf>
    <xf numFmtId="40" fontId="0" fillId="0" borderId="0" xfId="1" applyNumberFormat="1" applyFont="1" applyFill="1" applyAlignment="1"/>
    <xf numFmtId="0" fontId="0" fillId="0" borderId="4" xfId="0" applyBorder="1"/>
    <xf numFmtId="40" fontId="0" fillId="0" borderId="4" xfId="1" applyNumberFormat="1" applyFont="1" applyBorder="1" applyAlignment="1"/>
    <xf numFmtId="38" fontId="0" fillId="0" borderId="4" xfId="1" applyFont="1" applyBorder="1" applyAlignment="1"/>
    <xf numFmtId="38" fontId="0" fillId="0" borderId="0" xfId="1" applyFont="1" applyFill="1" applyAlignment="1"/>
    <xf numFmtId="0" fontId="3" fillId="0" borderId="0" xfId="0" applyFont="1" applyAlignment="1">
      <alignment horizontal="center" vertical="center"/>
    </xf>
    <xf numFmtId="38" fontId="0" fillId="0" borderId="0" xfId="1" applyFont="1" applyAlignment="1">
      <alignment horizontal="center" vertical="center"/>
    </xf>
    <xf numFmtId="40" fontId="0" fillId="0" borderId="4" xfId="1" applyNumberFormat="1" applyFont="1" applyBorder="1" applyAlignment="1">
      <alignment horizontal="center" vertical="center"/>
    </xf>
    <xf numFmtId="38" fontId="0" fillId="0" borderId="4" xfId="1" applyFont="1" applyBorder="1" applyAlignment="1">
      <alignment horizontal="center" vertical="center"/>
    </xf>
    <xf numFmtId="40" fontId="0" fillId="0" borderId="0" xfId="1" applyNumberFormat="1" applyFont="1" applyFill="1" applyAlignment="1">
      <alignment horizontal="center" vertical="center"/>
    </xf>
    <xf numFmtId="38" fontId="0" fillId="0" borderId="0" xfId="1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38" fontId="0" fillId="2" borderId="0" xfId="1" applyFont="1" applyFill="1" applyAlignment="1">
      <alignment horizontal="center" vertical="center"/>
    </xf>
    <xf numFmtId="38" fontId="0" fillId="2" borderId="4" xfId="1" applyFont="1" applyFill="1" applyBorder="1" applyAlignment="1">
      <alignment horizontal="center" vertical="center"/>
    </xf>
    <xf numFmtId="40" fontId="0" fillId="2" borderId="4" xfId="1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かおり野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Sheet3!$D$2:$J$2</c:f>
              <c:strCache>
                <c:ptCount val="7"/>
                <c:pt idx="0">
                  <c:v>11月</c:v>
                </c:pt>
                <c:pt idx="1">
                  <c:v>12月</c:v>
                </c:pt>
                <c:pt idx="2">
                  <c:v>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</c:strCache>
            </c:strRef>
          </c:cat>
          <c:val>
            <c:numRef>
              <c:f>Sheet3!$D$3:$J$3</c:f>
              <c:numCache>
                <c:formatCode>General</c:formatCode>
                <c:ptCount val="7"/>
                <c:pt idx="0">
                  <c:v>0.24</c:v>
                </c:pt>
                <c:pt idx="1">
                  <c:v>14.07</c:v>
                </c:pt>
                <c:pt idx="2">
                  <c:v>14.07</c:v>
                </c:pt>
                <c:pt idx="3">
                  <c:v>8.64</c:v>
                </c:pt>
                <c:pt idx="4">
                  <c:v>3.78</c:v>
                </c:pt>
                <c:pt idx="5">
                  <c:v>17.07</c:v>
                </c:pt>
                <c:pt idx="6">
                  <c:v>17.57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97-4965-82B8-4CA4AC894CA9}"/>
            </c:ext>
          </c:extLst>
        </c:ser>
        <c:ser>
          <c:idx val="1"/>
          <c:order val="1"/>
          <c:tx>
            <c:strRef>
              <c:f>Sheet3!$C$4</c:f>
              <c:strCache>
                <c:ptCount val="1"/>
                <c:pt idx="0">
                  <c:v>よつぼし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Sheet3!$D$2:$J$2</c:f>
              <c:strCache>
                <c:ptCount val="7"/>
                <c:pt idx="0">
                  <c:v>11月</c:v>
                </c:pt>
                <c:pt idx="1">
                  <c:v>12月</c:v>
                </c:pt>
                <c:pt idx="2">
                  <c:v>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</c:strCache>
            </c:strRef>
          </c:cat>
          <c:val>
            <c:numRef>
              <c:f>Sheet3!$D$4:$J$4</c:f>
              <c:numCache>
                <c:formatCode>General</c:formatCode>
                <c:ptCount val="7"/>
                <c:pt idx="0">
                  <c:v>0</c:v>
                </c:pt>
                <c:pt idx="1">
                  <c:v>3.16</c:v>
                </c:pt>
                <c:pt idx="2">
                  <c:v>11.29</c:v>
                </c:pt>
                <c:pt idx="3">
                  <c:v>13.56</c:v>
                </c:pt>
                <c:pt idx="4">
                  <c:v>12.13</c:v>
                </c:pt>
                <c:pt idx="5">
                  <c:v>8.01</c:v>
                </c:pt>
                <c:pt idx="6">
                  <c:v>30.14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97-4965-82B8-4CA4AC894CA9}"/>
            </c:ext>
          </c:extLst>
        </c:ser>
        <c:ser>
          <c:idx val="2"/>
          <c:order val="2"/>
          <c:tx>
            <c:strRef>
              <c:f>Sheet3!$C$5</c:f>
              <c:strCache>
                <c:ptCount val="1"/>
                <c:pt idx="0">
                  <c:v>やよいひめ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Sheet3!$D$2:$J$2</c:f>
              <c:strCache>
                <c:ptCount val="7"/>
                <c:pt idx="0">
                  <c:v>11月</c:v>
                </c:pt>
                <c:pt idx="1">
                  <c:v>12月</c:v>
                </c:pt>
                <c:pt idx="2">
                  <c:v>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</c:strCache>
            </c:strRef>
          </c:cat>
          <c:val>
            <c:numRef>
              <c:f>Sheet3!$D$5:$J$5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5.88</c:v>
                </c:pt>
                <c:pt idx="3">
                  <c:v>19.36</c:v>
                </c:pt>
                <c:pt idx="4">
                  <c:v>14.95</c:v>
                </c:pt>
                <c:pt idx="5">
                  <c:v>36.78</c:v>
                </c:pt>
                <c:pt idx="6">
                  <c:v>30.45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97-4965-82B8-4CA4AC894CA9}"/>
            </c:ext>
          </c:extLst>
        </c:ser>
        <c:ser>
          <c:idx val="3"/>
          <c:order val="3"/>
          <c:tx>
            <c:strRef>
              <c:f>Sheet3!$C$6</c:f>
              <c:strCache>
                <c:ptCount val="1"/>
                <c:pt idx="0">
                  <c:v>紅ほっぺ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Sheet3!$D$2:$J$2</c:f>
              <c:strCache>
                <c:ptCount val="7"/>
                <c:pt idx="0">
                  <c:v>11月</c:v>
                </c:pt>
                <c:pt idx="1">
                  <c:v>12月</c:v>
                </c:pt>
                <c:pt idx="2">
                  <c:v>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</c:strCache>
            </c:strRef>
          </c:cat>
          <c:val>
            <c:numRef>
              <c:f>Sheet3!$D$6:$J$6</c:f>
              <c:numCache>
                <c:formatCode>General</c:formatCode>
                <c:ptCount val="7"/>
                <c:pt idx="0">
                  <c:v>1.54</c:v>
                </c:pt>
                <c:pt idx="1">
                  <c:v>2.02</c:v>
                </c:pt>
                <c:pt idx="2">
                  <c:v>61.18</c:v>
                </c:pt>
                <c:pt idx="3">
                  <c:v>64.010000000000005</c:v>
                </c:pt>
                <c:pt idx="4">
                  <c:v>37.22</c:v>
                </c:pt>
                <c:pt idx="5">
                  <c:v>32.85</c:v>
                </c:pt>
                <c:pt idx="6">
                  <c:v>74.5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97-4965-82B8-4CA4AC894CA9}"/>
            </c:ext>
          </c:extLst>
        </c:ser>
        <c:ser>
          <c:idx val="4"/>
          <c:order val="4"/>
          <c:tx>
            <c:strRef>
              <c:f>Sheet3!$C$7</c:f>
              <c:strCache>
                <c:ptCount val="1"/>
                <c:pt idx="0">
                  <c:v>平均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Sheet3!$D$2:$J$2</c:f>
              <c:strCache>
                <c:ptCount val="7"/>
                <c:pt idx="0">
                  <c:v>11月</c:v>
                </c:pt>
                <c:pt idx="1">
                  <c:v>12月</c:v>
                </c:pt>
                <c:pt idx="2">
                  <c:v>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</c:strCache>
            </c:strRef>
          </c:cat>
          <c:val>
            <c:numRef>
              <c:f>Sheet3!$D$7:$J$7</c:f>
              <c:numCache>
                <c:formatCode>General</c:formatCode>
                <c:ptCount val="7"/>
                <c:pt idx="0">
                  <c:v>0.44500000000000001</c:v>
                </c:pt>
                <c:pt idx="1">
                  <c:v>4.8125</c:v>
                </c:pt>
                <c:pt idx="2">
                  <c:v>23.105</c:v>
                </c:pt>
                <c:pt idx="3">
                  <c:v>26.392500000000002</c:v>
                </c:pt>
                <c:pt idx="4">
                  <c:v>17.02</c:v>
                </c:pt>
                <c:pt idx="5">
                  <c:v>23.677500000000002</c:v>
                </c:pt>
                <c:pt idx="6">
                  <c:v>38.164999999999999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97-4965-82B8-4CA4AC894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820767"/>
        <c:axId val="1142823167"/>
      </c:lineChart>
      <c:catAx>
        <c:axId val="114282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2823167"/>
        <c:crosses val="autoZero"/>
        <c:auto val="1"/>
        <c:lblAlgn val="ctr"/>
        <c:lblOffset val="100"/>
        <c:noMultiLvlLbl val="0"/>
      </c:catAx>
      <c:valAx>
        <c:axId val="114282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282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Sheet3!$L$3</c:f>
              <c:strCache>
                <c:ptCount val="1"/>
                <c:pt idx="0">
                  <c:v>かおり野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Sheet3!$M$2:$S$2</c:f>
              <c:strCache>
                <c:ptCount val="7"/>
                <c:pt idx="0">
                  <c:v>11月</c:v>
                </c:pt>
                <c:pt idx="1">
                  <c:v>12月</c:v>
                </c:pt>
                <c:pt idx="2">
                  <c:v>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</c:strCache>
            </c:strRef>
          </c:cat>
          <c:val>
            <c:numRef>
              <c:f>Sheet3!$M$3:$S$3</c:f>
              <c:numCache>
                <c:formatCode>General</c:formatCode>
                <c:ptCount val="7"/>
                <c:pt idx="0">
                  <c:v>0.24</c:v>
                </c:pt>
                <c:pt idx="1">
                  <c:v>14.07</c:v>
                </c:pt>
                <c:pt idx="2">
                  <c:v>14.07</c:v>
                </c:pt>
                <c:pt idx="3">
                  <c:v>8.64</c:v>
                </c:pt>
                <c:pt idx="4">
                  <c:v>3.78</c:v>
                </c:pt>
                <c:pt idx="5">
                  <c:v>17.07</c:v>
                </c:pt>
                <c:pt idx="6">
                  <c:v>17.57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1-4E43-96AB-269508FE9BAB}"/>
            </c:ext>
          </c:extLst>
        </c:ser>
        <c:ser>
          <c:idx val="1"/>
          <c:order val="1"/>
          <c:tx>
            <c:strRef>
              <c:f>Sheet3!$L$4</c:f>
              <c:strCache>
                <c:ptCount val="1"/>
                <c:pt idx="0">
                  <c:v>よつぼし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Sheet3!$M$2:$S$2</c:f>
              <c:strCache>
                <c:ptCount val="7"/>
                <c:pt idx="0">
                  <c:v>11月</c:v>
                </c:pt>
                <c:pt idx="1">
                  <c:v>12月</c:v>
                </c:pt>
                <c:pt idx="2">
                  <c:v>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</c:strCache>
            </c:strRef>
          </c:cat>
          <c:val>
            <c:numRef>
              <c:f>Sheet3!$M$4:$S$4</c:f>
              <c:numCache>
                <c:formatCode>General</c:formatCode>
                <c:ptCount val="7"/>
                <c:pt idx="0">
                  <c:v>0</c:v>
                </c:pt>
                <c:pt idx="1">
                  <c:v>3.16</c:v>
                </c:pt>
                <c:pt idx="2">
                  <c:v>11.29</c:v>
                </c:pt>
                <c:pt idx="3">
                  <c:v>13.56</c:v>
                </c:pt>
                <c:pt idx="4">
                  <c:v>12.13</c:v>
                </c:pt>
                <c:pt idx="5">
                  <c:v>8.01</c:v>
                </c:pt>
                <c:pt idx="6">
                  <c:v>30.14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F1-4E43-96AB-269508FE9BAB}"/>
            </c:ext>
          </c:extLst>
        </c:ser>
        <c:ser>
          <c:idx val="2"/>
          <c:order val="2"/>
          <c:tx>
            <c:strRef>
              <c:f>Sheet3!$L$5</c:f>
              <c:strCache>
                <c:ptCount val="1"/>
                <c:pt idx="0">
                  <c:v>やよいひめ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Sheet3!$M$2:$S$2</c:f>
              <c:strCache>
                <c:ptCount val="7"/>
                <c:pt idx="0">
                  <c:v>11月</c:v>
                </c:pt>
                <c:pt idx="1">
                  <c:v>12月</c:v>
                </c:pt>
                <c:pt idx="2">
                  <c:v>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</c:strCache>
            </c:strRef>
          </c:cat>
          <c:val>
            <c:numRef>
              <c:f>Sheet3!$M$5:$S$5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5.88</c:v>
                </c:pt>
                <c:pt idx="3">
                  <c:v>19.36</c:v>
                </c:pt>
                <c:pt idx="4">
                  <c:v>14.95</c:v>
                </c:pt>
                <c:pt idx="5">
                  <c:v>36.78</c:v>
                </c:pt>
                <c:pt idx="6">
                  <c:v>30.45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F1-4E43-96AB-269508FE9BAB}"/>
            </c:ext>
          </c:extLst>
        </c:ser>
        <c:ser>
          <c:idx val="3"/>
          <c:order val="3"/>
          <c:tx>
            <c:strRef>
              <c:f>Sheet3!$L$6</c:f>
              <c:strCache>
                <c:ptCount val="1"/>
                <c:pt idx="0">
                  <c:v>平均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Sheet3!$M$2:$S$2</c:f>
              <c:strCache>
                <c:ptCount val="7"/>
                <c:pt idx="0">
                  <c:v>11月</c:v>
                </c:pt>
                <c:pt idx="1">
                  <c:v>12月</c:v>
                </c:pt>
                <c:pt idx="2">
                  <c:v>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</c:strCache>
            </c:strRef>
          </c:cat>
          <c:val>
            <c:numRef>
              <c:f>Sheet3!$M$6:$S$6</c:f>
              <c:numCache>
                <c:formatCode>General</c:formatCode>
                <c:ptCount val="7"/>
                <c:pt idx="0">
                  <c:v>0.08</c:v>
                </c:pt>
                <c:pt idx="1">
                  <c:v>5.7433333333333332</c:v>
                </c:pt>
                <c:pt idx="2">
                  <c:v>10.413333333333332</c:v>
                </c:pt>
                <c:pt idx="3">
                  <c:v>13.853333333333333</c:v>
                </c:pt>
                <c:pt idx="4">
                  <c:v>10.286666666666667</c:v>
                </c:pt>
                <c:pt idx="5">
                  <c:v>20.62</c:v>
                </c:pt>
                <c:pt idx="6">
                  <c:v>26.053333333333331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F1-4E43-96AB-269508FE9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796767"/>
        <c:axId val="1142817887"/>
      </c:lineChart>
      <c:catAx>
        <c:axId val="114279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2817887"/>
        <c:crosses val="autoZero"/>
        <c:auto val="1"/>
        <c:lblAlgn val="ctr"/>
        <c:lblOffset val="100"/>
        <c:noMultiLvlLbl val="0"/>
      </c:catAx>
      <c:valAx>
        <c:axId val="114281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279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7</xdr:row>
      <xdr:rowOff>158750</xdr:rowOff>
    </xdr:from>
    <xdr:to>
      <xdr:col>9</xdr:col>
      <xdr:colOff>431800</xdr:colOff>
      <xdr:row>19</xdr:row>
      <xdr:rowOff>158750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25CD9B2-C1D3-1B19-54FE-A846E020C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241300</xdr:colOff>
      <xdr:row>8</xdr:row>
      <xdr:rowOff>12700</xdr:rowOff>
    </xdr:from>
    <xdr:to>
      <xdr:col>18</xdr:col>
      <xdr:colOff>190500</xdr:colOff>
      <xdr:row>20</xdr:row>
      <xdr:rowOff>12700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F3D32BA-0477-AB45-3E9E-FC5B73E33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46C2-47CD-49FA-BAC5-B423C4ADF426}">
  <dimension ref="A1"/>
  <sheetViews>
    <sheetView workbookViewId="0"/>
  </sheetViews>
  <sheetFormatPr defaultRowHeight="18"/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65DF-02B0-47B7-9BD7-85096DB663B0}">
  <dimension ref="A1"/>
  <sheetViews>
    <sheetView workbookViewId="0"/>
  </sheetViews>
  <sheetFormatPr defaultRowHeight="18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93A8-87D8-4E9E-BAD4-A2FFAA3199C4}">
  <sheetPr>
    <pageSetUpPr fitToPage="1"/>
  </sheetPr>
  <dimension ref="A1:Y31"/>
  <sheetViews>
    <sheetView zoomScale="69" workbookViewId="0">
      <selection activeCell="L26" sqref="L26"/>
    </sheetView>
  </sheetViews>
  <sheetFormatPr defaultRowHeight="18"/>
  <cols>
    <col min="2" max="2" width="17.33203125" customWidth="1"/>
    <col min="3" max="3" width="20.5" bestFit="1" customWidth="1"/>
    <col min="4" max="5" width="13.6640625" bestFit="1" customWidth="1"/>
    <col min="6" max="6" width="8.75" style="20" bestFit="1" customWidth="1"/>
    <col min="7" max="7" width="14.6640625" style="20" bestFit="1" customWidth="1"/>
    <col min="8" max="8" width="8.1640625" bestFit="1" customWidth="1"/>
    <col min="9" max="9" width="10.6640625" bestFit="1" customWidth="1"/>
    <col min="10" max="10" width="20.75" bestFit="1" customWidth="1"/>
    <col min="11" max="12" width="14.75" bestFit="1" customWidth="1"/>
    <col min="13" max="13" width="18.08203125" bestFit="1" customWidth="1"/>
    <col min="15" max="16" width="14.58203125" bestFit="1" customWidth="1"/>
    <col min="17" max="17" width="14.5" customWidth="1"/>
    <col min="18" max="18" width="15.58203125" bestFit="1" customWidth="1"/>
    <col min="19" max="19" width="13.08203125" bestFit="1" customWidth="1"/>
    <col min="20" max="20" width="10.83203125" bestFit="1" customWidth="1"/>
    <col min="21" max="21" width="21.9140625" bestFit="1" customWidth="1"/>
    <col min="22" max="23" width="14.83203125" bestFit="1" customWidth="1"/>
    <col min="24" max="24" width="20.1640625" bestFit="1" customWidth="1"/>
    <col min="25" max="25" width="7.08203125" bestFit="1" customWidth="1"/>
  </cols>
  <sheetData>
    <row r="1" spans="1:25">
      <c r="B1" t="s">
        <v>48</v>
      </c>
      <c r="J1" t="s">
        <v>88</v>
      </c>
      <c r="N1" s="16" t="s">
        <v>86</v>
      </c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5">
      <c r="B2" s="5" t="s">
        <v>4</v>
      </c>
      <c r="C2" s="5" t="s">
        <v>5</v>
      </c>
      <c r="D2" s="5" t="s">
        <v>127</v>
      </c>
      <c r="E2" s="5" t="s">
        <v>7</v>
      </c>
      <c r="F2" s="21" t="s">
        <v>8</v>
      </c>
      <c r="G2" s="5" t="s">
        <v>128</v>
      </c>
      <c r="H2" s="5" t="s">
        <v>50</v>
      </c>
      <c r="I2" s="5" t="s">
        <v>60</v>
      </c>
      <c r="J2" s="5" t="s">
        <v>129</v>
      </c>
      <c r="K2" s="5" t="s">
        <v>62</v>
      </c>
      <c r="L2" t="s">
        <v>61</v>
      </c>
      <c r="M2" t="s">
        <v>151</v>
      </c>
      <c r="N2" s="16" t="s">
        <v>87</v>
      </c>
      <c r="O2" s="17" t="s">
        <v>127</v>
      </c>
      <c r="P2" s="17" t="s">
        <v>7</v>
      </c>
      <c r="Q2" s="17" t="s">
        <v>8</v>
      </c>
      <c r="R2" s="17" t="s">
        <v>128</v>
      </c>
      <c r="S2" s="17" t="s">
        <v>50</v>
      </c>
      <c r="T2" s="17" t="s">
        <v>60</v>
      </c>
      <c r="U2" s="17" t="s">
        <v>129</v>
      </c>
      <c r="V2" s="17" t="s">
        <v>62</v>
      </c>
      <c r="W2" s="16" t="s">
        <v>61</v>
      </c>
      <c r="X2" s="16" t="s">
        <v>130</v>
      </c>
    </row>
    <row r="3" spans="1:25">
      <c r="B3" t="s">
        <v>10</v>
      </c>
      <c r="C3" t="s">
        <v>67</v>
      </c>
      <c r="D3" s="25">
        <f>SUM(企収!D3:D113)</f>
        <v>61457</v>
      </c>
      <c r="E3" s="25">
        <f>SUM(企収!E3:E113)</f>
        <v>51090</v>
      </c>
      <c r="F3" s="25">
        <f>SUM(企収!F3:F113)</f>
        <v>417</v>
      </c>
      <c r="G3" s="25">
        <f t="shared" ref="G3:G17" si="0">SUM(D3:E3)</f>
        <v>112547</v>
      </c>
      <c r="H3" s="25">
        <v>450</v>
      </c>
      <c r="I3" s="25">
        <f>0.3*14*6</f>
        <v>25.200000000000003</v>
      </c>
      <c r="J3" s="25">
        <f t="shared" ref="J3:J17" si="1">G3/H3</f>
        <v>250.10444444444445</v>
      </c>
      <c r="K3" s="25">
        <f t="shared" ref="K3:K17" si="2">(D3/G3)*100</f>
        <v>54.605631425093513</v>
      </c>
      <c r="L3" s="25">
        <f t="shared" ref="L3:L17" si="3">E3 / G3 * 100</f>
        <v>45.394368574906487</v>
      </c>
      <c r="M3" s="25">
        <f>G3 / I3 * 100 / 1000</f>
        <v>446.61507936507934</v>
      </c>
      <c r="N3" s="30"/>
      <c r="O3" s="30">
        <f>D3-22665</f>
        <v>38792</v>
      </c>
      <c r="P3" s="30">
        <f>E3-15218</f>
        <v>35872</v>
      </c>
      <c r="Q3" s="30">
        <f t="shared" ref="Q3:Q17" si="4">F3-160</f>
        <v>257</v>
      </c>
      <c r="R3" s="30">
        <f>G3-37882</f>
        <v>74665</v>
      </c>
      <c r="S3" s="30">
        <f>H3-217</f>
        <v>233</v>
      </c>
      <c r="T3" s="30">
        <f>I3-13</f>
        <v>12.200000000000003</v>
      </c>
      <c r="U3" s="30">
        <f>J3-153.9</f>
        <v>96.204444444444448</v>
      </c>
      <c r="V3" s="30">
        <f>K3-60</f>
        <v>-5.3943685749064869</v>
      </c>
      <c r="W3" s="30">
        <f>L3-40</f>
        <v>5.3943685749064869</v>
      </c>
      <c r="X3" s="30">
        <f>M3-246.72</f>
        <v>199.89507936507934</v>
      </c>
      <c r="Y3" s="18"/>
    </row>
    <row r="4" spans="1:25">
      <c r="B4" t="s">
        <v>13</v>
      </c>
      <c r="C4" t="s">
        <v>25</v>
      </c>
      <c r="D4" s="25">
        <f>SUM(企収!J3:J17)</f>
        <v>2616</v>
      </c>
      <c r="E4" s="25">
        <f>SUM(企収!K3:K17)</f>
        <v>2900</v>
      </c>
      <c r="F4" s="25">
        <f>SUM(企収!L3:L17)</f>
        <v>9</v>
      </c>
      <c r="G4" s="25">
        <f t="shared" si="0"/>
        <v>5516</v>
      </c>
      <c r="H4" s="25">
        <v>80</v>
      </c>
      <c r="I4" s="25">
        <f t="shared" ref="I4:I16" si="5">0.3*28</f>
        <v>8.4</v>
      </c>
      <c r="J4" s="25">
        <f t="shared" si="1"/>
        <v>68.95</v>
      </c>
      <c r="K4" s="25">
        <f t="shared" si="2"/>
        <v>47.42567077592458</v>
      </c>
      <c r="L4" s="25">
        <f t="shared" si="3"/>
        <v>52.57432922407542</v>
      </c>
      <c r="M4" s="25">
        <f t="shared" ref="M4:M17" si="6">G4 / I4 * 100 / 1000</f>
        <v>65.666666666666657</v>
      </c>
      <c r="N4" s="30"/>
      <c r="O4" s="30">
        <f t="shared" ref="O4:O17" si="7">D4-22665</f>
        <v>-20049</v>
      </c>
      <c r="P4" s="30">
        <f t="shared" ref="P4:P17" si="8">E4-15218</f>
        <v>-12318</v>
      </c>
      <c r="Q4" s="30">
        <f t="shared" si="4"/>
        <v>-151</v>
      </c>
      <c r="R4" s="30">
        <f t="shared" ref="R4:R17" si="9">G4-37882</f>
        <v>-32366</v>
      </c>
      <c r="S4" s="30">
        <f t="shared" ref="S4:S17" si="10">H4-217</f>
        <v>-137</v>
      </c>
      <c r="T4" s="30">
        <f t="shared" ref="T4:T17" si="11">I4-13</f>
        <v>-4.5999999999999996</v>
      </c>
      <c r="U4" s="30">
        <f t="shared" ref="U4:U17" si="12">J4-153.9</f>
        <v>-84.95</v>
      </c>
      <c r="V4" s="30">
        <f t="shared" ref="V4:V17" si="13">K4-60</f>
        <v>-12.57432922407542</v>
      </c>
      <c r="W4" s="30">
        <f t="shared" ref="W4:W17" si="14">L4-40</f>
        <v>12.57432922407542</v>
      </c>
      <c r="X4" s="30">
        <f t="shared" ref="X4:X17" si="15">M4-246.72</f>
        <v>-181.05333333333334</v>
      </c>
    </row>
    <row r="5" spans="1:25">
      <c r="A5" s="12"/>
      <c r="B5" t="s">
        <v>17</v>
      </c>
      <c r="C5" t="s">
        <v>25</v>
      </c>
      <c r="D5" s="25">
        <f>SUM(企収!P3:P23)</f>
        <v>4527</v>
      </c>
      <c r="E5" s="25">
        <f>SUM(企収!Q3:Q23)</f>
        <v>2536</v>
      </c>
      <c r="F5" s="25">
        <f>SUM(企収!R3:R23)</f>
        <v>25</v>
      </c>
      <c r="G5" s="25">
        <f t="shared" si="0"/>
        <v>7063</v>
      </c>
      <c r="H5" s="25">
        <v>80</v>
      </c>
      <c r="I5" s="25">
        <f t="shared" si="5"/>
        <v>8.4</v>
      </c>
      <c r="J5" s="25">
        <f t="shared" si="1"/>
        <v>88.287499999999994</v>
      </c>
      <c r="K5" s="25">
        <f t="shared" si="2"/>
        <v>64.094577375053092</v>
      </c>
      <c r="L5" s="25">
        <f t="shared" si="3"/>
        <v>35.905422624946908</v>
      </c>
      <c r="M5" s="25">
        <f t="shared" si="6"/>
        <v>84.083333333333329</v>
      </c>
      <c r="N5" s="30"/>
      <c r="O5" s="30">
        <f t="shared" si="7"/>
        <v>-18138</v>
      </c>
      <c r="P5" s="30">
        <f t="shared" si="8"/>
        <v>-12682</v>
      </c>
      <c r="Q5" s="30">
        <f t="shared" si="4"/>
        <v>-135</v>
      </c>
      <c r="R5" s="30">
        <f t="shared" si="9"/>
        <v>-30819</v>
      </c>
      <c r="S5" s="30">
        <f t="shared" si="10"/>
        <v>-137</v>
      </c>
      <c r="T5" s="30">
        <f t="shared" si="11"/>
        <v>-4.5999999999999996</v>
      </c>
      <c r="U5" s="30">
        <f t="shared" si="12"/>
        <v>-65.612500000000011</v>
      </c>
      <c r="V5" s="30">
        <f t="shared" si="13"/>
        <v>4.0945773750530918</v>
      </c>
      <c r="W5" s="30">
        <f t="shared" si="14"/>
        <v>-4.0945773750530918</v>
      </c>
      <c r="X5" s="30">
        <f>M5-246.72</f>
        <v>-162.63666666666666</v>
      </c>
    </row>
    <row r="6" spans="1:25">
      <c r="B6" t="s">
        <v>51</v>
      </c>
      <c r="C6" t="s">
        <v>52</v>
      </c>
      <c r="D6" s="25">
        <f>SUM(企収!V3:V48)</f>
        <v>77893</v>
      </c>
      <c r="E6" s="25">
        <f>SUM(企収!W3:W48)</f>
        <v>58668</v>
      </c>
      <c r="F6" s="25">
        <f>SUM(企収!X3:X48)</f>
        <v>478</v>
      </c>
      <c r="G6" s="25">
        <f t="shared" si="0"/>
        <v>136561</v>
      </c>
      <c r="H6" s="25">
        <v>640</v>
      </c>
      <c r="I6" s="25">
        <v>34</v>
      </c>
      <c r="J6" s="25">
        <f t="shared" si="1"/>
        <v>213.37656250000001</v>
      </c>
      <c r="K6" s="25">
        <f t="shared" si="2"/>
        <v>57.038978917846237</v>
      </c>
      <c r="L6" s="25">
        <f t="shared" si="3"/>
        <v>42.961021082153763</v>
      </c>
      <c r="M6" s="25">
        <f t="shared" si="6"/>
        <v>401.65</v>
      </c>
      <c r="N6" s="30"/>
      <c r="O6" s="30">
        <f t="shared" si="7"/>
        <v>55228</v>
      </c>
      <c r="P6" s="30">
        <f t="shared" si="8"/>
        <v>43450</v>
      </c>
      <c r="Q6" s="30">
        <f t="shared" si="4"/>
        <v>318</v>
      </c>
      <c r="R6" s="30">
        <f t="shared" si="9"/>
        <v>98679</v>
      </c>
      <c r="S6" s="30">
        <f t="shared" si="10"/>
        <v>423</v>
      </c>
      <c r="T6" s="30">
        <f t="shared" si="11"/>
        <v>21</v>
      </c>
      <c r="U6" s="30">
        <f t="shared" si="12"/>
        <v>59.4765625</v>
      </c>
      <c r="V6" s="30">
        <f t="shared" si="13"/>
        <v>-2.9610210821537635</v>
      </c>
      <c r="W6" s="30">
        <f t="shared" si="14"/>
        <v>2.9610210821537635</v>
      </c>
      <c r="X6" s="30">
        <f t="shared" si="15"/>
        <v>154.92999999999998</v>
      </c>
    </row>
    <row r="7" spans="1:25">
      <c r="B7" t="s">
        <v>20</v>
      </c>
      <c r="C7" t="s">
        <v>44</v>
      </c>
      <c r="D7" s="25">
        <f>SUM(企収!AB3:AB28)</f>
        <v>42160</v>
      </c>
      <c r="E7" s="25">
        <f>SUM(企収!AC3:AC28)</f>
        <v>18930</v>
      </c>
      <c r="F7" s="25">
        <f>SUM(企収!AD3:AD28)</f>
        <v>323</v>
      </c>
      <c r="G7" s="25">
        <f t="shared" si="0"/>
        <v>61090</v>
      </c>
      <c r="H7" s="25">
        <v>320</v>
      </c>
      <c r="I7" s="25">
        <f>0.3*28*2</f>
        <v>16.8</v>
      </c>
      <c r="J7" s="25">
        <f t="shared" si="1"/>
        <v>190.90625</v>
      </c>
      <c r="K7" s="25">
        <f t="shared" si="2"/>
        <v>69.012931740055663</v>
      </c>
      <c r="L7" s="25">
        <f t="shared" si="3"/>
        <v>30.987068259944344</v>
      </c>
      <c r="M7" s="25">
        <f t="shared" si="6"/>
        <v>363.63095238095235</v>
      </c>
      <c r="N7" s="30"/>
      <c r="O7" s="30">
        <f t="shared" si="7"/>
        <v>19495</v>
      </c>
      <c r="P7" s="30">
        <f t="shared" si="8"/>
        <v>3712</v>
      </c>
      <c r="Q7" s="30">
        <f t="shared" si="4"/>
        <v>163</v>
      </c>
      <c r="R7" s="30">
        <f t="shared" si="9"/>
        <v>23208</v>
      </c>
      <c r="S7" s="30">
        <f t="shared" si="10"/>
        <v>103</v>
      </c>
      <c r="T7" s="30">
        <f t="shared" si="11"/>
        <v>3.8000000000000007</v>
      </c>
      <c r="U7" s="30">
        <f t="shared" si="12"/>
        <v>37.006249999999994</v>
      </c>
      <c r="V7" s="30">
        <f t="shared" si="13"/>
        <v>9.012931740055663</v>
      </c>
      <c r="W7" s="30">
        <f t="shared" si="14"/>
        <v>-9.0129317400556559</v>
      </c>
      <c r="X7" s="30">
        <f t="shared" si="15"/>
        <v>116.91095238095235</v>
      </c>
    </row>
    <row r="8" spans="1:25">
      <c r="B8" t="s">
        <v>53</v>
      </c>
      <c r="C8" t="s">
        <v>54</v>
      </c>
      <c r="D8" s="25">
        <f>SUM(企収!AH3:AH42)</f>
        <v>28882</v>
      </c>
      <c r="E8" s="25">
        <f>SUM(企収!AI3:AI42)</f>
        <v>15983</v>
      </c>
      <c r="F8" s="25">
        <f>SUM(企収!AJ3:AJ42)</f>
        <v>210</v>
      </c>
      <c r="G8" s="25">
        <f t="shared" si="0"/>
        <v>44865</v>
      </c>
      <c r="H8" s="25">
        <v>320</v>
      </c>
      <c r="I8" s="25">
        <v>26</v>
      </c>
      <c r="J8" s="25">
        <f t="shared" si="1"/>
        <v>140.203125</v>
      </c>
      <c r="K8" s="25">
        <f t="shared" si="2"/>
        <v>64.375348267023298</v>
      </c>
      <c r="L8" s="25">
        <f t="shared" si="3"/>
        <v>35.624651732976709</v>
      </c>
      <c r="M8" s="25">
        <f t="shared" si="6"/>
        <v>172.55769230769232</v>
      </c>
      <c r="N8" s="30"/>
      <c r="O8" s="30">
        <f t="shared" si="7"/>
        <v>6217</v>
      </c>
      <c r="P8" s="30">
        <f t="shared" si="8"/>
        <v>765</v>
      </c>
      <c r="Q8" s="30">
        <f t="shared" si="4"/>
        <v>50</v>
      </c>
      <c r="R8" s="30">
        <f t="shared" si="9"/>
        <v>6983</v>
      </c>
      <c r="S8" s="30">
        <f t="shared" si="10"/>
        <v>103</v>
      </c>
      <c r="T8" s="30">
        <f t="shared" si="11"/>
        <v>13</v>
      </c>
      <c r="U8" s="30">
        <f t="shared" si="12"/>
        <v>-13.696875000000006</v>
      </c>
      <c r="V8" s="30">
        <f t="shared" si="13"/>
        <v>4.3753482670232984</v>
      </c>
      <c r="W8" s="30">
        <f t="shared" si="14"/>
        <v>-4.3753482670232913</v>
      </c>
      <c r="X8" s="30">
        <f t="shared" si="15"/>
        <v>-74.162307692307678</v>
      </c>
    </row>
    <row r="9" spans="1:25">
      <c r="B9" t="s">
        <v>27</v>
      </c>
      <c r="C9" t="s">
        <v>25</v>
      </c>
      <c r="D9" s="25">
        <f>SUM(企収!AN3:AN24)</f>
        <v>12480</v>
      </c>
      <c r="E9" s="25">
        <f>SUM(企収!AO3:AO24)</f>
        <v>5707</v>
      </c>
      <c r="F9" s="25">
        <f>SUM(企収!AP3:AP24)</f>
        <v>92</v>
      </c>
      <c r="G9" s="25">
        <f t="shared" si="0"/>
        <v>18187</v>
      </c>
      <c r="H9" s="25">
        <v>80</v>
      </c>
      <c r="I9" s="25">
        <f t="shared" si="5"/>
        <v>8.4</v>
      </c>
      <c r="J9" s="25">
        <f t="shared" si="1"/>
        <v>227.33750000000001</v>
      </c>
      <c r="K9" s="25">
        <f t="shared" si="2"/>
        <v>68.620443173695506</v>
      </c>
      <c r="L9" s="25">
        <f t="shared" si="3"/>
        <v>31.379556826304505</v>
      </c>
      <c r="M9" s="25">
        <f t="shared" si="6"/>
        <v>216.51190476190476</v>
      </c>
      <c r="N9" s="30"/>
      <c r="O9" s="30">
        <f t="shared" si="7"/>
        <v>-10185</v>
      </c>
      <c r="P9" s="30">
        <f t="shared" si="8"/>
        <v>-9511</v>
      </c>
      <c r="Q9" s="30">
        <f t="shared" si="4"/>
        <v>-68</v>
      </c>
      <c r="R9" s="30">
        <f t="shared" si="9"/>
        <v>-19695</v>
      </c>
      <c r="S9" s="30">
        <f t="shared" si="10"/>
        <v>-137</v>
      </c>
      <c r="T9" s="30">
        <f t="shared" si="11"/>
        <v>-4.5999999999999996</v>
      </c>
      <c r="U9" s="30">
        <f t="shared" si="12"/>
        <v>73.4375</v>
      </c>
      <c r="V9" s="30">
        <f t="shared" si="13"/>
        <v>8.6204431736955058</v>
      </c>
      <c r="W9" s="30">
        <f t="shared" si="14"/>
        <v>-8.6204431736954952</v>
      </c>
      <c r="X9" s="30">
        <f t="shared" si="15"/>
        <v>-30.20809523809524</v>
      </c>
    </row>
    <row r="10" spans="1:25">
      <c r="B10" t="s">
        <v>28</v>
      </c>
      <c r="C10" t="s">
        <v>25</v>
      </c>
      <c r="D10" s="25">
        <f>SUM(企収!AT3:AT25)</f>
        <v>9595</v>
      </c>
      <c r="E10" s="25">
        <f>SUM(企収!AU3:AU25)</f>
        <v>7843</v>
      </c>
      <c r="F10" s="25">
        <f>SUM(企収!AV3:AV25)</f>
        <v>66</v>
      </c>
      <c r="G10" s="25">
        <f t="shared" si="0"/>
        <v>17438</v>
      </c>
      <c r="H10" s="25">
        <v>80</v>
      </c>
      <c r="I10" s="25">
        <v>4</v>
      </c>
      <c r="J10" s="25">
        <f t="shared" si="1"/>
        <v>217.97499999999999</v>
      </c>
      <c r="K10" s="25">
        <f t="shared" si="2"/>
        <v>55.02351187062736</v>
      </c>
      <c r="L10" s="25">
        <f t="shared" si="3"/>
        <v>44.976488129372633</v>
      </c>
      <c r="M10" s="25">
        <f t="shared" si="6"/>
        <v>435.95</v>
      </c>
      <c r="N10" s="30"/>
      <c r="O10" s="30">
        <f t="shared" si="7"/>
        <v>-13070</v>
      </c>
      <c r="P10" s="30">
        <f t="shared" si="8"/>
        <v>-7375</v>
      </c>
      <c r="Q10" s="30">
        <f t="shared" si="4"/>
        <v>-94</v>
      </c>
      <c r="R10" s="30">
        <f t="shared" si="9"/>
        <v>-20444</v>
      </c>
      <c r="S10" s="30">
        <f t="shared" si="10"/>
        <v>-137</v>
      </c>
      <c r="T10" s="30">
        <f t="shared" si="11"/>
        <v>-9</v>
      </c>
      <c r="U10" s="30">
        <f t="shared" si="12"/>
        <v>64.074999999999989</v>
      </c>
      <c r="V10" s="30">
        <f t="shared" si="13"/>
        <v>-4.9764881293726404</v>
      </c>
      <c r="W10" s="30">
        <f t="shared" si="14"/>
        <v>4.9764881293726333</v>
      </c>
      <c r="X10" s="30">
        <f t="shared" si="15"/>
        <v>189.23</v>
      </c>
    </row>
    <row r="11" spans="1:25">
      <c r="B11" t="s">
        <v>29</v>
      </c>
      <c r="C11" t="s">
        <v>25</v>
      </c>
      <c r="D11" s="25">
        <f>SUM(企収!AZ3:AZ19)</f>
        <v>4630</v>
      </c>
      <c r="E11" s="25">
        <f>SUM(企収!BA3:BA19)</f>
        <v>3524</v>
      </c>
      <c r="F11" s="25">
        <f>SUM(企収!BB3:BB19)</f>
        <v>47</v>
      </c>
      <c r="G11" s="25">
        <f t="shared" si="0"/>
        <v>8154</v>
      </c>
      <c r="H11" s="25">
        <v>80</v>
      </c>
      <c r="I11" s="25">
        <f t="shared" si="5"/>
        <v>8.4</v>
      </c>
      <c r="J11" s="25">
        <f t="shared" si="1"/>
        <v>101.925</v>
      </c>
      <c r="K11" s="25">
        <f t="shared" si="2"/>
        <v>56.781947510424338</v>
      </c>
      <c r="L11" s="25">
        <f t="shared" si="3"/>
        <v>43.218052489575669</v>
      </c>
      <c r="M11" s="25">
        <f t="shared" si="6"/>
        <v>97.071428571428569</v>
      </c>
      <c r="N11" s="30"/>
      <c r="O11" s="30">
        <f t="shared" si="7"/>
        <v>-18035</v>
      </c>
      <c r="P11" s="30">
        <f t="shared" si="8"/>
        <v>-11694</v>
      </c>
      <c r="Q11" s="30">
        <f t="shared" si="4"/>
        <v>-113</v>
      </c>
      <c r="R11" s="30">
        <f t="shared" si="9"/>
        <v>-29728</v>
      </c>
      <c r="S11" s="30">
        <f t="shared" si="10"/>
        <v>-137</v>
      </c>
      <c r="T11" s="30">
        <f t="shared" si="11"/>
        <v>-4.5999999999999996</v>
      </c>
      <c r="U11" s="30">
        <f t="shared" si="12"/>
        <v>-51.975000000000009</v>
      </c>
      <c r="V11" s="30">
        <f t="shared" si="13"/>
        <v>-3.2180524895756619</v>
      </c>
      <c r="W11" s="30">
        <f t="shared" si="14"/>
        <v>3.218052489575669</v>
      </c>
      <c r="X11" s="30">
        <f t="shared" si="15"/>
        <v>-149.64857142857142</v>
      </c>
    </row>
    <row r="12" spans="1:25">
      <c r="B12" t="s">
        <v>30</v>
      </c>
      <c r="C12" t="s">
        <v>25</v>
      </c>
      <c r="D12" s="25">
        <f>SUM(企収!BF3:BF24)</f>
        <v>26392</v>
      </c>
      <c r="E12" s="25">
        <f>SUM(企収!BG3:BG24)</f>
        <v>9091</v>
      </c>
      <c r="F12" s="25">
        <f>SUM(企収!BH3:BH24)</f>
        <v>198</v>
      </c>
      <c r="G12" s="25">
        <f t="shared" si="0"/>
        <v>35483</v>
      </c>
      <c r="H12" s="25">
        <v>240</v>
      </c>
      <c r="I12" s="25">
        <f t="shared" si="5"/>
        <v>8.4</v>
      </c>
      <c r="J12" s="25">
        <f t="shared" si="1"/>
        <v>147.84583333333333</v>
      </c>
      <c r="K12" s="25">
        <f t="shared" si="2"/>
        <v>74.37928021869628</v>
      </c>
      <c r="L12" s="25">
        <f t="shared" si="3"/>
        <v>25.620719781303723</v>
      </c>
      <c r="M12" s="25">
        <f t="shared" si="6"/>
        <v>422.41666666666663</v>
      </c>
      <c r="N12" s="30"/>
      <c r="O12" s="30">
        <f t="shared" si="7"/>
        <v>3727</v>
      </c>
      <c r="P12" s="30">
        <f t="shared" si="8"/>
        <v>-6127</v>
      </c>
      <c r="Q12" s="30">
        <f t="shared" si="4"/>
        <v>38</v>
      </c>
      <c r="R12" s="30">
        <f t="shared" si="9"/>
        <v>-2399</v>
      </c>
      <c r="S12" s="30">
        <f t="shared" si="10"/>
        <v>23</v>
      </c>
      <c r="T12" s="30">
        <f t="shared" si="11"/>
        <v>-4.5999999999999996</v>
      </c>
      <c r="U12" s="30">
        <f t="shared" si="12"/>
        <v>-6.0541666666666742</v>
      </c>
      <c r="V12" s="30">
        <f t="shared" si="13"/>
        <v>14.37928021869628</v>
      </c>
      <c r="W12" s="30">
        <f t="shared" si="14"/>
        <v>-14.379280218696277</v>
      </c>
      <c r="X12" s="30">
        <f t="shared" si="15"/>
        <v>175.69666666666663</v>
      </c>
    </row>
    <row r="13" spans="1:25">
      <c r="B13" t="s">
        <v>32</v>
      </c>
      <c r="C13" t="s">
        <v>40</v>
      </c>
      <c r="D13" s="25">
        <f>SUM(企収!BL3:BL22)</f>
        <v>25250</v>
      </c>
      <c r="E13" s="25">
        <f>SUM(企収!BM3:BM22)</f>
        <v>22378</v>
      </c>
      <c r="F13" s="25">
        <f>SUM(企収!BN3:BN22)</f>
        <v>224</v>
      </c>
      <c r="G13" s="25">
        <f t="shared" si="0"/>
        <v>47628</v>
      </c>
      <c r="H13" s="25">
        <v>320</v>
      </c>
      <c r="I13" s="25">
        <f>0.3*28*2</f>
        <v>16.8</v>
      </c>
      <c r="J13" s="25">
        <f t="shared" si="1"/>
        <v>148.83750000000001</v>
      </c>
      <c r="K13" s="25">
        <f t="shared" si="2"/>
        <v>53.015033173763335</v>
      </c>
      <c r="L13" s="25">
        <f t="shared" si="3"/>
        <v>46.984966826236665</v>
      </c>
      <c r="M13" s="25">
        <f t="shared" si="6"/>
        <v>283.5</v>
      </c>
      <c r="N13" s="30"/>
      <c r="O13" s="30">
        <f t="shared" si="7"/>
        <v>2585</v>
      </c>
      <c r="P13" s="30">
        <f t="shared" si="8"/>
        <v>7160</v>
      </c>
      <c r="Q13" s="30">
        <f t="shared" si="4"/>
        <v>64</v>
      </c>
      <c r="R13" s="30">
        <f t="shared" si="9"/>
        <v>9746</v>
      </c>
      <c r="S13" s="30">
        <f t="shared" si="10"/>
        <v>103</v>
      </c>
      <c r="T13" s="30">
        <f t="shared" si="11"/>
        <v>3.8000000000000007</v>
      </c>
      <c r="U13" s="30">
        <f t="shared" si="12"/>
        <v>-5.0625</v>
      </c>
      <c r="V13" s="30">
        <f t="shared" si="13"/>
        <v>-6.9849668262366649</v>
      </c>
      <c r="W13" s="30">
        <f t="shared" si="14"/>
        <v>6.9849668262366649</v>
      </c>
      <c r="X13" s="30">
        <f t="shared" si="15"/>
        <v>36.78</v>
      </c>
    </row>
    <row r="14" spans="1:25">
      <c r="B14" t="s">
        <v>35</v>
      </c>
      <c r="C14" t="s">
        <v>25</v>
      </c>
      <c r="D14" s="25">
        <f>SUM(企収!BR3:BR22)</f>
        <v>6730</v>
      </c>
      <c r="E14" s="25">
        <f>SUM(企収!BS3:BS22)</f>
        <v>4350</v>
      </c>
      <c r="F14" s="25">
        <f>SUM(企収!BT3:BT22)</f>
        <v>48</v>
      </c>
      <c r="G14" s="25">
        <f t="shared" si="0"/>
        <v>11080</v>
      </c>
      <c r="H14" s="25">
        <v>80</v>
      </c>
      <c r="I14" s="25">
        <f t="shared" si="5"/>
        <v>8.4</v>
      </c>
      <c r="J14" s="25">
        <f t="shared" si="1"/>
        <v>138.5</v>
      </c>
      <c r="K14" s="25">
        <f t="shared" si="2"/>
        <v>60.740072202166061</v>
      </c>
      <c r="L14" s="25">
        <f t="shared" si="3"/>
        <v>39.259927797833932</v>
      </c>
      <c r="M14" s="25">
        <f t="shared" si="6"/>
        <v>131.9047619047619</v>
      </c>
      <c r="N14" s="30"/>
      <c r="O14" s="30">
        <f t="shared" si="7"/>
        <v>-15935</v>
      </c>
      <c r="P14" s="30">
        <f t="shared" si="8"/>
        <v>-10868</v>
      </c>
      <c r="Q14" s="30">
        <f t="shared" si="4"/>
        <v>-112</v>
      </c>
      <c r="R14" s="30">
        <f t="shared" si="9"/>
        <v>-26802</v>
      </c>
      <c r="S14" s="30">
        <f t="shared" si="10"/>
        <v>-137</v>
      </c>
      <c r="T14" s="30">
        <f t="shared" si="11"/>
        <v>-4.5999999999999996</v>
      </c>
      <c r="U14" s="30">
        <f t="shared" si="12"/>
        <v>-15.400000000000006</v>
      </c>
      <c r="V14" s="30">
        <f t="shared" si="13"/>
        <v>0.74007220216606129</v>
      </c>
      <c r="W14" s="30">
        <f t="shared" si="14"/>
        <v>-0.74007220216606839</v>
      </c>
      <c r="X14" s="30">
        <f t="shared" si="15"/>
        <v>-114.8152380952381</v>
      </c>
    </row>
    <row r="15" spans="1:25">
      <c r="B15" t="s">
        <v>37</v>
      </c>
      <c r="C15" t="s">
        <v>40</v>
      </c>
      <c r="D15" s="25">
        <f>SUM(企収!BX3:BX23)</f>
        <v>26528</v>
      </c>
      <c r="E15" s="25">
        <f>SUM(企収!BY3:BY23)</f>
        <v>17042</v>
      </c>
      <c r="F15" s="25">
        <f>SUM(企収!BZ3:BZ23)</f>
        <v>179</v>
      </c>
      <c r="G15" s="25">
        <f t="shared" si="0"/>
        <v>43570</v>
      </c>
      <c r="H15" s="25">
        <v>320</v>
      </c>
      <c r="I15" s="25">
        <f>0.3*28*2</f>
        <v>16.8</v>
      </c>
      <c r="J15" s="25">
        <f t="shared" si="1"/>
        <v>136.15625</v>
      </c>
      <c r="K15" s="25">
        <f t="shared" si="2"/>
        <v>60.88593068625201</v>
      </c>
      <c r="L15" s="25">
        <f t="shared" si="3"/>
        <v>39.11406931374799</v>
      </c>
      <c r="M15" s="25">
        <f t="shared" si="6"/>
        <v>259.34523809523807</v>
      </c>
      <c r="N15" s="30"/>
      <c r="O15" s="30">
        <f t="shared" si="7"/>
        <v>3863</v>
      </c>
      <c r="P15" s="30">
        <f t="shared" si="8"/>
        <v>1824</v>
      </c>
      <c r="Q15" s="30">
        <f t="shared" si="4"/>
        <v>19</v>
      </c>
      <c r="R15" s="30">
        <f t="shared" si="9"/>
        <v>5688</v>
      </c>
      <c r="S15" s="30">
        <f t="shared" si="10"/>
        <v>103</v>
      </c>
      <c r="T15" s="30">
        <f t="shared" si="11"/>
        <v>3.8000000000000007</v>
      </c>
      <c r="U15" s="30">
        <f t="shared" si="12"/>
        <v>-17.743750000000006</v>
      </c>
      <c r="V15" s="30">
        <f t="shared" si="13"/>
        <v>0.88593068625200999</v>
      </c>
      <c r="W15" s="30">
        <f t="shared" si="14"/>
        <v>-0.88593068625200999</v>
      </c>
      <c r="X15" s="30">
        <f t="shared" si="15"/>
        <v>12.625238095238075</v>
      </c>
    </row>
    <row r="16" spans="1:25">
      <c r="B16" t="s">
        <v>55</v>
      </c>
      <c r="C16" t="s">
        <v>25</v>
      </c>
      <c r="D16" s="25">
        <f>SUM(企収!CD3:CD26)</f>
        <v>6230</v>
      </c>
      <c r="E16" s="25">
        <f>SUM(企収!CE3:CE26)</f>
        <v>5714</v>
      </c>
      <c r="F16" s="25">
        <f>SUM(企収!CF3:CF26)</f>
        <v>42</v>
      </c>
      <c r="G16" s="25">
        <f t="shared" si="0"/>
        <v>11944</v>
      </c>
      <c r="H16" s="25">
        <v>80</v>
      </c>
      <c r="I16" s="25">
        <f t="shared" si="5"/>
        <v>8.4</v>
      </c>
      <c r="J16" s="25">
        <f t="shared" si="1"/>
        <v>149.30000000000001</v>
      </c>
      <c r="K16" s="25">
        <f t="shared" si="2"/>
        <v>52.16008037508373</v>
      </c>
      <c r="L16" s="25">
        <f t="shared" si="3"/>
        <v>47.839919624916277</v>
      </c>
      <c r="M16" s="25">
        <f t="shared" si="6"/>
        <v>142.19047619047618</v>
      </c>
      <c r="N16" s="30"/>
      <c r="O16" s="30">
        <f t="shared" si="7"/>
        <v>-16435</v>
      </c>
      <c r="P16" s="30">
        <f t="shared" si="8"/>
        <v>-9504</v>
      </c>
      <c r="Q16" s="30">
        <f t="shared" si="4"/>
        <v>-118</v>
      </c>
      <c r="R16" s="30">
        <f t="shared" si="9"/>
        <v>-25938</v>
      </c>
      <c r="S16" s="30">
        <f t="shared" si="10"/>
        <v>-137</v>
      </c>
      <c r="T16" s="30">
        <f t="shared" si="11"/>
        <v>-4.5999999999999996</v>
      </c>
      <c r="U16" s="30">
        <f t="shared" si="12"/>
        <v>-4.5999999999999943</v>
      </c>
      <c r="V16" s="30">
        <f t="shared" si="13"/>
        <v>-7.8399196249162699</v>
      </c>
      <c r="W16" s="30">
        <f t="shared" si="14"/>
        <v>7.839919624916277</v>
      </c>
      <c r="X16" s="30">
        <f t="shared" si="15"/>
        <v>-104.52952380952382</v>
      </c>
    </row>
    <row r="17" spans="2:24">
      <c r="B17" t="s">
        <v>31</v>
      </c>
      <c r="C17" t="s">
        <v>25</v>
      </c>
      <c r="D17" s="25">
        <f>SUM(企収!CJ3:CJ18)</f>
        <v>4600</v>
      </c>
      <c r="E17" s="25">
        <f>SUM(企収!CK3:CK18)</f>
        <v>2509</v>
      </c>
      <c r="F17" s="25">
        <f>SUM(企収!CL3:CL18)</f>
        <v>41</v>
      </c>
      <c r="G17" s="25">
        <f t="shared" si="0"/>
        <v>7109</v>
      </c>
      <c r="H17" s="25">
        <v>80</v>
      </c>
      <c r="I17" s="25">
        <v>4</v>
      </c>
      <c r="J17" s="25">
        <f t="shared" si="1"/>
        <v>88.862499999999997</v>
      </c>
      <c r="K17" s="25">
        <f t="shared" si="2"/>
        <v>64.706709804473206</v>
      </c>
      <c r="L17" s="25">
        <f t="shared" si="3"/>
        <v>35.293290195526801</v>
      </c>
      <c r="M17" s="25">
        <f t="shared" si="6"/>
        <v>177.72499999999999</v>
      </c>
      <c r="N17" s="30"/>
      <c r="O17" s="30">
        <f t="shared" si="7"/>
        <v>-18065</v>
      </c>
      <c r="P17" s="30">
        <f t="shared" si="8"/>
        <v>-12709</v>
      </c>
      <c r="Q17" s="30">
        <f t="shared" si="4"/>
        <v>-119</v>
      </c>
      <c r="R17" s="30">
        <f t="shared" si="9"/>
        <v>-30773</v>
      </c>
      <c r="S17" s="30">
        <f t="shared" si="10"/>
        <v>-137</v>
      </c>
      <c r="T17" s="30">
        <f t="shared" si="11"/>
        <v>-9</v>
      </c>
      <c r="U17" s="30">
        <f t="shared" si="12"/>
        <v>-65.037500000000009</v>
      </c>
      <c r="V17" s="30">
        <f t="shared" si="13"/>
        <v>4.7067098044732063</v>
      </c>
      <c r="W17" s="30">
        <f t="shared" si="14"/>
        <v>-4.7067098044731992</v>
      </c>
      <c r="X17" s="30">
        <f t="shared" si="15"/>
        <v>-68.995000000000005</v>
      </c>
    </row>
    <row r="18" spans="2:24">
      <c r="B18" s="14" t="s">
        <v>91</v>
      </c>
      <c r="C18" s="14" t="s">
        <v>56</v>
      </c>
      <c r="D18" s="26">
        <f>SUM(D3:D17)</f>
        <v>339970</v>
      </c>
      <c r="E18" s="26">
        <f t="shared" ref="E18:F18" si="16">SUM(E3:E17)</f>
        <v>228265</v>
      </c>
      <c r="F18" s="31">
        <f t="shared" si="16"/>
        <v>2399</v>
      </c>
      <c r="G18" s="26">
        <f>SUM(G3:G17)</f>
        <v>568235</v>
      </c>
      <c r="H18" s="26">
        <f>SUM(H3:H17)</f>
        <v>3250</v>
      </c>
      <c r="I18" s="26">
        <f>SUM(I3:I17)</f>
        <v>202.40000000000003</v>
      </c>
      <c r="J18" s="26"/>
      <c r="K18" s="26"/>
      <c r="L18" s="26"/>
      <c r="M18" s="26"/>
      <c r="N18" s="32" t="s">
        <v>89</v>
      </c>
      <c r="O18" s="32" cm="1">
        <f t="array" ref="O18">SUM(O3:O17*O3:O17)/COUNT(O3:O17)</f>
        <v>479353357</v>
      </c>
      <c r="P18" s="32" cm="1">
        <f t="array" ref="P18">SUM(P3:P17*P3:P17)/COUNT(P3:P17)</f>
        <v>283021567.26666665</v>
      </c>
      <c r="Q18" s="32" cm="1">
        <f t="array" ref="Q18">SUM(Q3:Q17*Q3:Q17)/COUNT(Q3:Q17)</f>
        <v>20668.466666666667</v>
      </c>
      <c r="R18" s="32" cm="1">
        <f t="array" ref="R18">SUM(R3:R17*R3:R17)/COUNT(R3:R17)</f>
        <v>1470530087.9333334</v>
      </c>
      <c r="S18" s="32" cm="1">
        <f t="array" ref="S18">SUM(S3:S17*S3:S17)/COUNT(S3:S17)</f>
        <v>28422.333333333332</v>
      </c>
      <c r="T18" s="32" cm="1">
        <f t="array" ref="T18">SUM(T3:T17*T3:T17)/COUNT(T3:T17)</f>
        <v>74.152000000000015</v>
      </c>
      <c r="U18" s="32" cm="1">
        <f t="array" ref="U18">SUM(U3:U17*U3:U17)/COUNT(U3:U17)</f>
        <v>2862.4478509732676</v>
      </c>
      <c r="V18" s="32" cm="1">
        <f t="array" ref="V18">SUM(V3:V17*V3:V17)/COUNT(V3:V17)</f>
        <v>50.870641537266174</v>
      </c>
      <c r="W18" s="32" cm="1">
        <f t="array" ref="W18">SUM(W3:W17*W3:W17)/COUNT(W3:W17)</f>
        <v>50.870641537266152</v>
      </c>
      <c r="X18" s="32" cm="1">
        <f t="array" ref="X18">SUM(X3:X17*X3:X17)/COUNT(X3:X17)</f>
        <v>17515.102134251603</v>
      </c>
    </row>
    <row r="19" spans="2:24">
      <c r="B19" s="14"/>
      <c r="C19" s="14" t="s">
        <v>156</v>
      </c>
      <c r="D19" s="26">
        <f>MEDIAN(D3:D17)</f>
        <v>12480</v>
      </c>
      <c r="E19" s="26">
        <f t="shared" ref="E19:M19" si="17">MEDIAN(E3:E17)</f>
        <v>7843</v>
      </c>
      <c r="F19" s="26">
        <f t="shared" si="17"/>
        <v>92</v>
      </c>
      <c r="G19" s="26">
        <f t="shared" si="17"/>
        <v>18187</v>
      </c>
      <c r="H19" s="26">
        <f t="shared" si="17"/>
        <v>80</v>
      </c>
      <c r="I19" s="26">
        <f t="shared" si="17"/>
        <v>8.4</v>
      </c>
      <c r="J19" s="26">
        <f t="shared" si="17"/>
        <v>147.84583333333333</v>
      </c>
      <c r="K19" s="26">
        <f t="shared" si="17"/>
        <v>60.740072202166061</v>
      </c>
      <c r="L19" s="26">
        <f t="shared" si="17"/>
        <v>39.259927797833932</v>
      </c>
      <c r="M19" s="26">
        <f t="shared" si="17"/>
        <v>216.51190476190476</v>
      </c>
      <c r="N19" s="32" t="s">
        <v>90</v>
      </c>
      <c r="O19" s="32">
        <f t="shared" ref="O19:X19" si="18">SQRT(O18)</f>
        <v>21894.13978671005</v>
      </c>
      <c r="P19" s="32">
        <f t="shared" si="18"/>
        <v>16823.24484951303</v>
      </c>
      <c r="Q19" s="32">
        <f t="shared" si="18"/>
        <v>143.76531802443407</v>
      </c>
      <c r="R19" s="32">
        <f t="shared" si="18"/>
        <v>38347.491286045471</v>
      </c>
      <c r="S19" s="32">
        <f t="shared" si="18"/>
        <v>168.58924441770694</v>
      </c>
      <c r="T19" s="32">
        <f t="shared" si="18"/>
        <v>8.6111555554408614</v>
      </c>
      <c r="U19" s="32">
        <f t="shared" si="18"/>
        <v>53.501849042563634</v>
      </c>
      <c r="V19" s="32">
        <f t="shared" si="18"/>
        <v>7.1323657742200917</v>
      </c>
      <c r="W19" s="32">
        <f t="shared" si="18"/>
        <v>7.1323657742200908</v>
      </c>
      <c r="X19" s="32">
        <f t="shared" si="18"/>
        <v>132.34463394581437</v>
      </c>
    </row>
    <row r="20" spans="2:24">
      <c r="B20" s="14"/>
      <c r="C20" s="14" t="s">
        <v>153</v>
      </c>
      <c r="D20" s="26">
        <f>MAX(D3:D17)</f>
        <v>77893</v>
      </c>
      <c r="E20" s="26">
        <f t="shared" ref="E20:M20" si="19">MAX(E3:E17)</f>
        <v>58668</v>
      </c>
      <c r="F20" s="26">
        <f t="shared" si="19"/>
        <v>478</v>
      </c>
      <c r="G20" s="26">
        <f t="shared" si="19"/>
        <v>136561</v>
      </c>
      <c r="H20" s="26">
        <f t="shared" si="19"/>
        <v>640</v>
      </c>
      <c r="I20" s="26">
        <f t="shared" si="19"/>
        <v>34</v>
      </c>
      <c r="J20" s="26">
        <f t="shared" si="19"/>
        <v>250.10444444444445</v>
      </c>
      <c r="K20" s="26">
        <f t="shared" si="19"/>
        <v>74.37928021869628</v>
      </c>
      <c r="L20" s="26">
        <f t="shared" si="19"/>
        <v>52.57432922407542</v>
      </c>
      <c r="M20" s="26">
        <f t="shared" si="19"/>
        <v>446.61507936507934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2:24">
      <c r="B21" s="14"/>
      <c r="C21" s="14" t="s">
        <v>155</v>
      </c>
      <c r="D21" s="26">
        <f>MIN(D3:D17)</f>
        <v>2616</v>
      </c>
      <c r="E21" s="26">
        <f t="shared" ref="E21:M21" si="20">MIN(E3:E17)</f>
        <v>2509</v>
      </c>
      <c r="F21" s="26">
        <f t="shared" si="20"/>
        <v>9</v>
      </c>
      <c r="G21" s="26">
        <f t="shared" si="20"/>
        <v>5516</v>
      </c>
      <c r="H21" s="26">
        <f t="shared" si="20"/>
        <v>80</v>
      </c>
      <c r="I21" s="26">
        <f t="shared" si="20"/>
        <v>4</v>
      </c>
      <c r="J21" s="26">
        <f t="shared" si="20"/>
        <v>68.95</v>
      </c>
      <c r="K21" s="26">
        <f t="shared" si="20"/>
        <v>47.42567077592458</v>
      </c>
      <c r="L21" s="26">
        <f t="shared" si="20"/>
        <v>25.620719781303723</v>
      </c>
      <c r="M21" s="26">
        <f t="shared" si="20"/>
        <v>65.666666666666657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2" spans="2:24">
      <c r="C22" s="14" t="s">
        <v>57</v>
      </c>
      <c r="D22" s="10">
        <f>AVERAGE(D3:D17)</f>
        <v>22664.666666666668</v>
      </c>
      <c r="E22" s="10">
        <f t="shared" ref="E22:M22" si="21">AVERAGE(E3:E17)</f>
        <v>15217.666666666666</v>
      </c>
      <c r="F22" s="10">
        <f t="shared" si="21"/>
        <v>159.93333333333334</v>
      </c>
      <c r="G22" s="10">
        <f t="shared" si="21"/>
        <v>37882.333333333336</v>
      </c>
      <c r="H22" s="10">
        <f t="shared" si="21"/>
        <v>216.66666666666666</v>
      </c>
      <c r="I22" s="10">
        <f t="shared" si="21"/>
        <v>13.493333333333336</v>
      </c>
      <c r="J22" s="10">
        <f t="shared" si="21"/>
        <v>153.90449768518519</v>
      </c>
      <c r="K22" s="10">
        <f t="shared" si="21"/>
        <v>60.191076501078541</v>
      </c>
      <c r="L22" s="10">
        <f t="shared" si="21"/>
        <v>39.808923498921452</v>
      </c>
      <c r="M22" s="10">
        <f t="shared" si="21"/>
        <v>246.72128001627999</v>
      </c>
      <c r="O22" t="s">
        <v>92</v>
      </c>
    </row>
    <row r="23" spans="2:24">
      <c r="C23" s="13" t="s">
        <v>63</v>
      </c>
      <c r="D23" s="10"/>
      <c r="E23" s="10"/>
      <c r="F23" s="22"/>
      <c r="G23" s="22"/>
      <c r="H23" s="10"/>
      <c r="I23" s="10"/>
      <c r="J23" s="10"/>
      <c r="K23" s="10"/>
      <c r="L23" s="10"/>
      <c r="M23" s="10"/>
      <c r="O23" t="s">
        <v>93</v>
      </c>
    </row>
    <row r="24" spans="2:24">
      <c r="C24" t="s">
        <v>64</v>
      </c>
    </row>
    <row r="25" spans="2:24">
      <c r="O25" t="s">
        <v>94</v>
      </c>
    </row>
    <row r="26" spans="2:24">
      <c r="D26" s="8"/>
      <c r="E26" s="5"/>
      <c r="O26" t="s">
        <v>95</v>
      </c>
    </row>
    <row r="27" spans="2:24">
      <c r="J27" s="13"/>
      <c r="O27" s="13"/>
    </row>
    <row r="28" spans="2:24">
      <c r="O28" t="s">
        <v>96</v>
      </c>
    </row>
    <row r="29" spans="2:24">
      <c r="O29" t="s">
        <v>97</v>
      </c>
    </row>
    <row r="31" spans="2:24">
      <c r="C31" s="13"/>
    </row>
  </sheetData>
  <phoneticPr fontId="2"/>
  <pageMargins left="0.7" right="0.7" top="0.75" bottom="0.75" header="0.3" footer="0.3"/>
  <pageSetup paperSize="8" scale="51" orientation="landscape" r:id="rId1"/>
  <ignoredErrors>
    <ignoredError sqref="I13 I1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563D-E5B7-4610-B24F-1D8EF5B470D8}">
  <dimension ref="A1:G18"/>
  <sheetViews>
    <sheetView workbookViewId="0">
      <selection activeCell="G18" sqref="A1:G18"/>
    </sheetView>
  </sheetViews>
  <sheetFormatPr defaultRowHeight="18"/>
  <cols>
    <col min="1" max="1" width="12.33203125" bestFit="1" customWidth="1"/>
    <col min="2" max="5" width="14.33203125" bestFit="1" customWidth="1"/>
    <col min="6" max="6" width="8.5" bestFit="1" customWidth="1"/>
    <col min="7" max="7" width="7.33203125" customWidth="1"/>
  </cols>
  <sheetData>
    <row r="1" spans="1:7">
      <c r="A1" s="5" t="s">
        <v>4</v>
      </c>
      <c r="B1" s="5" t="s">
        <v>508</v>
      </c>
      <c r="C1" s="5" t="s">
        <v>509</v>
      </c>
      <c r="D1" s="5" t="s">
        <v>510</v>
      </c>
      <c r="E1" s="5" t="s">
        <v>62</v>
      </c>
      <c r="F1" s="5" t="s">
        <v>8</v>
      </c>
      <c r="G1" s="5" t="s">
        <v>50</v>
      </c>
    </row>
    <row r="2" spans="1:7">
      <c r="A2" s="5" t="s">
        <v>117</v>
      </c>
      <c r="B2" s="53">
        <v>61.45</v>
      </c>
      <c r="C2" s="53">
        <v>112.54</v>
      </c>
      <c r="D2" s="53">
        <v>250.10444444444445</v>
      </c>
      <c r="E2" s="53">
        <v>54.605631425093513</v>
      </c>
      <c r="F2" s="53">
        <v>417</v>
      </c>
      <c r="G2" s="53">
        <v>450</v>
      </c>
    </row>
    <row r="3" spans="1:7">
      <c r="A3" s="5" t="s">
        <v>13</v>
      </c>
      <c r="B3" s="53">
        <v>2.61</v>
      </c>
      <c r="C3" s="53">
        <v>5.51</v>
      </c>
      <c r="D3" s="53">
        <v>68.95</v>
      </c>
      <c r="E3" s="53">
        <v>47.42567077592458</v>
      </c>
      <c r="F3" s="53">
        <v>9</v>
      </c>
      <c r="G3" s="53">
        <v>80</v>
      </c>
    </row>
    <row r="4" spans="1:7">
      <c r="A4" s="5" t="s">
        <v>507</v>
      </c>
      <c r="B4" s="53">
        <v>4.5199999999999996</v>
      </c>
      <c r="C4" s="53">
        <v>7.06</v>
      </c>
      <c r="D4" s="53">
        <v>88.287499999999994</v>
      </c>
      <c r="E4" s="53">
        <v>64.094577375053092</v>
      </c>
      <c r="F4" s="53">
        <v>25</v>
      </c>
      <c r="G4" s="53">
        <v>80</v>
      </c>
    </row>
    <row r="5" spans="1:7">
      <c r="A5" s="5" t="s">
        <v>51</v>
      </c>
      <c r="B5" s="53">
        <v>77.89</v>
      </c>
      <c r="C5" s="53">
        <v>136.56</v>
      </c>
      <c r="D5" s="53">
        <v>213.37656250000001</v>
      </c>
      <c r="E5" s="53">
        <v>57.038978917846237</v>
      </c>
      <c r="F5" s="53">
        <v>478</v>
      </c>
      <c r="G5" s="53">
        <v>640</v>
      </c>
    </row>
    <row r="6" spans="1:7">
      <c r="A6" s="5" t="s">
        <v>284</v>
      </c>
      <c r="B6" s="53">
        <v>42.16</v>
      </c>
      <c r="C6" s="53">
        <v>61.09</v>
      </c>
      <c r="D6" s="53">
        <v>190.90625</v>
      </c>
      <c r="E6" s="53">
        <v>69.012931740055663</v>
      </c>
      <c r="F6" s="53">
        <v>323</v>
      </c>
      <c r="G6" s="53">
        <v>320</v>
      </c>
    </row>
    <row r="7" spans="1:7">
      <c r="A7" s="5" t="s">
        <v>53</v>
      </c>
      <c r="B7" s="53">
        <v>28.88</v>
      </c>
      <c r="C7" s="53">
        <v>44.86</v>
      </c>
      <c r="D7" s="53">
        <v>140.203125</v>
      </c>
      <c r="E7" s="53">
        <v>64.375348267023298</v>
      </c>
      <c r="F7" s="53">
        <v>210</v>
      </c>
      <c r="G7" s="53">
        <v>320</v>
      </c>
    </row>
    <row r="8" spans="1:7">
      <c r="A8" s="5" t="s">
        <v>101</v>
      </c>
      <c r="B8" s="53">
        <v>12.48</v>
      </c>
      <c r="C8" s="53">
        <v>18.18</v>
      </c>
      <c r="D8" s="53">
        <v>227.33750000000001</v>
      </c>
      <c r="E8" s="53">
        <v>68.620443173695506</v>
      </c>
      <c r="F8" s="53">
        <v>92</v>
      </c>
      <c r="G8" s="53">
        <v>80</v>
      </c>
    </row>
    <row r="9" spans="1:7">
      <c r="A9" s="5" t="s">
        <v>100</v>
      </c>
      <c r="B9" s="53">
        <v>9.59</v>
      </c>
      <c r="C9" s="53">
        <v>17.43</v>
      </c>
      <c r="D9" s="53">
        <v>217.97499999999999</v>
      </c>
      <c r="E9" s="53">
        <v>55.02351187062736</v>
      </c>
      <c r="F9" s="53">
        <v>66</v>
      </c>
      <c r="G9" s="53">
        <v>80</v>
      </c>
    </row>
    <row r="10" spans="1:7">
      <c r="A10" s="5" t="s">
        <v>29</v>
      </c>
      <c r="B10" s="53">
        <v>4.63</v>
      </c>
      <c r="C10" s="53">
        <v>8.15</v>
      </c>
      <c r="D10" s="53">
        <v>101.925</v>
      </c>
      <c r="E10" s="53">
        <v>56.781947510424338</v>
      </c>
      <c r="F10" s="53">
        <v>47</v>
      </c>
      <c r="G10" s="53">
        <v>80</v>
      </c>
    </row>
    <row r="11" spans="1:7">
      <c r="A11" s="5" t="s">
        <v>102</v>
      </c>
      <c r="B11" s="53">
        <v>26.39</v>
      </c>
      <c r="C11" s="53">
        <v>35.479999999999997</v>
      </c>
      <c r="D11" s="53">
        <v>147.84583333333333</v>
      </c>
      <c r="E11" s="53">
        <v>74.37928021869628</v>
      </c>
      <c r="F11" s="53">
        <v>198</v>
      </c>
      <c r="G11" s="53">
        <v>240</v>
      </c>
    </row>
    <row r="12" spans="1:7">
      <c r="A12" s="5" t="s">
        <v>32</v>
      </c>
      <c r="B12" s="53">
        <v>25.25</v>
      </c>
      <c r="C12" s="53">
        <v>47.62</v>
      </c>
      <c r="D12" s="53">
        <v>148.83750000000001</v>
      </c>
      <c r="E12" s="53">
        <v>53.015033173763335</v>
      </c>
      <c r="F12" s="53">
        <v>224</v>
      </c>
      <c r="G12" s="53">
        <v>320</v>
      </c>
    </row>
    <row r="13" spans="1:7">
      <c r="A13" s="5" t="s">
        <v>35</v>
      </c>
      <c r="B13" s="53">
        <v>6.73</v>
      </c>
      <c r="C13" s="53">
        <v>11.08</v>
      </c>
      <c r="D13" s="53">
        <v>138.5</v>
      </c>
      <c r="E13" s="53">
        <v>60.740072202166061</v>
      </c>
      <c r="F13" s="53">
        <v>48</v>
      </c>
      <c r="G13" s="53">
        <v>80</v>
      </c>
    </row>
    <row r="14" spans="1:7">
      <c r="A14" s="5" t="s">
        <v>37</v>
      </c>
      <c r="B14" s="53">
        <v>26.52</v>
      </c>
      <c r="C14" s="53">
        <v>43.57</v>
      </c>
      <c r="D14" s="53">
        <v>136.15625</v>
      </c>
      <c r="E14" s="53">
        <v>60.88593068625201</v>
      </c>
      <c r="F14" s="53">
        <v>179</v>
      </c>
      <c r="G14" s="53">
        <v>320</v>
      </c>
    </row>
    <row r="15" spans="1:7">
      <c r="A15" s="5" t="s">
        <v>55</v>
      </c>
      <c r="B15" s="53">
        <v>6.23</v>
      </c>
      <c r="C15" s="53">
        <v>11.94</v>
      </c>
      <c r="D15" s="53">
        <v>149.30000000000001</v>
      </c>
      <c r="E15" s="53">
        <v>52.16008037508373</v>
      </c>
      <c r="F15" s="53">
        <v>42</v>
      </c>
      <c r="G15" s="53">
        <v>80</v>
      </c>
    </row>
    <row r="16" spans="1:7">
      <c r="A16" s="54" t="s">
        <v>31</v>
      </c>
      <c r="B16" s="55">
        <v>4.5999999999999996</v>
      </c>
      <c r="C16" s="55">
        <v>7.11</v>
      </c>
      <c r="D16" s="55">
        <v>88.862499999999997</v>
      </c>
      <c r="E16" s="55">
        <v>64.706709804473206</v>
      </c>
      <c r="F16" s="55">
        <v>41</v>
      </c>
      <c r="G16" s="55">
        <v>80</v>
      </c>
    </row>
    <row r="17" spans="1:7">
      <c r="A17" s="5"/>
      <c r="B17" s="53">
        <f>AVERAGE(B2:B16)</f>
        <v>22.661999999999999</v>
      </c>
      <c r="C17" s="53">
        <f t="shared" ref="C17:G17" si="0">AVERAGE(C2:C16)</f>
        <v>37.878666666666668</v>
      </c>
      <c r="D17" s="53">
        <f t="shared" si="0"/>
        <v>153.90449768518519</v>
      </c>
      <c r="E17" s="53">
        <f t="shared" si="0"/>
        <v>60.191076501078541</v>
      </c>
      <c r="F17" s="53">
        <f t="shared" si="0"/>
        <v>159.93333333333334</v>
      </c>
      <c r="G17" s="53">
        <f t="shared" si="0"/>
        <v>216.66666666666666</v>
      </c>
    </row>
    <row r="18" spans="1:7">
      <c r="A18" s="5"/>
      <c r="B18" s="53">
        <f>MEDIAN(B2:B16)</f>
        <v>12.48</v>
      </c>
      <c r="C18" s="53">
        <f t="shared" ref="C18:G18" si="1">MEDIAN(C2:C16)</f>
        <v>18.18</v>
      </c>
      <c r="D18" s="53">
        <f t="shared" si="1"/>
        <v>147.84583333333333</v>
      </c>
      <c r="E18" s="53">
        <f t="shared" si="1"/>
        <v>60.740072202166061</v>
      </c>
      <c r="F18" s="53">
        <f t="shared" si="1"/>
        <v>92</v>
      </c>
      <c r="G18" s="53">
        <f t="shared" si="1"/>
        <v>80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929F-A50B-470F-B643-F60CF14F923A}">
  <dimension ref="B1:CL171"/>
  <sheetViews>
    <sheetView topLeftCell="Q12" workbookViewId="0">
      <selection activeCell="H17" sqref="H17"/>
    </sheetView>
  </sheetViews>
  <sheetFormatPr defaultRowHeight="18"/>
  <cols>
    <col min="2" max="6" width="14.75" customWidth="1"/>
    <col min="9" max="9" width="13.9140625" customWidth="1"/>
  </cols>
  <sheetData>
    <row r="1" spans="2:90">
      <c r="B1" t="s">
        <v>48</v>
      </c>
    </row>
    <row r="2" spans="2:90"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N2" s="5" t="s">
        <v>4</v>
      </c>
      <c r="O2" s="5" t="s">
        <v>5</v>
      </c>
      <c r="P2" s="5" t="s">
        <v>6</v>
      </c>
      <c r="Q2" s="5" t="s">
        <v>7</v>
      </c>
      <c r="R2" s="5" t="s">
        <v>8</v>
      </c>
      <c r="T2" s="5" t="s">
        <v>4</v>
      </c>
      <c r="U2" s="5" t="s">
        <v>5</v>
      </c>
      <c r="V2" s="5" t="s">
        <v>6</v>
      </c>
      <c r="W2" s="5" t="s">
        <v>7</v>
      </c>
      <c r="X2" s="5" t="s">
        <v>8</v>
      </c>
      <c r="Z2" s="5" t="s">
        <v>4</v>
      </c>
      <c r="AA2" s="5" t="s">
        <v>5</v>
      </c>
      <c r="AB2" s="5" t="s">
        <v>6</v>
      </c>
      <c r="AC2" s="5" t="s">
        <v>7</v>
      </c>
      <c r="AD2" s="5" t="s">
        <v>8</v>
      </c>
      <c r="AF2" s="5" t="s">
        <v>4</v>
      </c>
      <c r="AG2" s="5" t="s">
        <v>5</v>
      </c>
      <c r="AH2" s="5" t="s">
        <v>6</v>
      </c>
      <c r="AI2" s="5" t="s">
        <v>7</v>
      </c>
      <c r="AJ2" s="5" t="s">
        <v>8</v>
      </c>
      <c r="AL2" s="5" t="s">
        <v>4</v>
      </c>
      <c r="AM2" s="5" t="s">
        <v>5</v>
      </c>
      <c r="AN2" s="5" t="s">
        <v>6</v>
      </c>
      <c r="AO2" s="5" t="s">
        <v>7</v>
      </c>
      <c r="AP2" s="5" t="s">
        <v>8</v>
      </c>
      <c r="AR2" s="5" t="s">
        <v>4</v>
      </c>
      <c r="AS2" s="5" t="s">
        <v>5</v>
      </c>
      <c r="AT2" s="5" t="s">
        <v>6</v>
      </c>
      <c r="AU2" s="5" t="s">
        <v>7</v>
      </c>
      <c r="AV2" s="5" t="s">
        <v>8</v>
      </c>
      <c r="AX2" s="5" t="s">
        <v>4</v>
      </c>
      <c r="AY2" s="5" t="s">
        <v>5</v>
      </c>
      <c r="AZ2" s="5" t="s">
        <v>6</v>
      </c>
      <c r="BA2" s="5" t="s">
        <v>7</v>
      </c>
      <c r="BB2" s="5" t="s">
        <v>8</v>
      </c>
      <c r="BD2" s="5" t="s">
        <v>4</v>
      </c>
      <c r="BE2" s="5" t="s">
        <v>5</v>
      </c>
      <c r="BF2" s="5" t="s">
        <v>6</v>
      </c>
      <c r="BG2" s="5" t="s">
        <v>7</v>
      </c>
      <c r="BH2" s="5" t="s">
        <v>8</v>
      </c>
      <c r="BJ2" s="5" t="s">
        <v>4</v>
      </c>
      <c r="BK2" s="5" t="s">
        <v>5</v>
      </c>
      <c r="BL2" s="5" t="s">
        <v>6</v>
      </c>
      <c r="BM2" s="5" t="s">
        <v>7</v>
      </c>
      <c r="BN2" s="5" t="s">
        <v>8</v>
      </c>
      <c r="BP2" s="5" t="s">
        <v>4</v>
      </c>
      <c r="BQ2" s="5" t="s">
        <v>5</v>
      </c>
      <c r="BR2" s="5" t="s">
        <v>6</v>
      </c>
      <c r="BS2" s="5" t="s">
        <v>7</v>
      </c>
      <c r="BT2" s="5" t="s">
        <v>8</v>
      </c>
      <c r="BV2" s="5" t="s">
        <v>4</v>
      </c>
      <c r="BW2" s="5" t="s">
        <v>5</v>
      </c>
      <c r="BX2" s="5" t="s">
        <v>6</v>
      </c>
      <c r="BY2" s="5" t="s">
        <v>7</v>
      </c>
      <c r="BZ2" s="5" t="s">
        <v>8</v>
      </c>
      <c r="CB2" s="5" t="s">
        <v>4</v>
      </c>
      <c r="CC2" s="5" t="s">
        <v>5</v>
      </c>
      <c r="CD2" s="5" t="s">
        <v>6</v>
      </c>
      <c r="CE2" s="5" t="s">
        <v>7</v>
      </c>
      <c r="CF2" s="5" t="s">
        <v>8</v>
      </c>
      <c r="CH2" s="5" t="s">
        <v>4</v>
      </c>
      <c r="CI2" s="5" t="s">
        <v>5</v>
      </c>
      <c r="CJ2" s="5" t="s">
        <v>6</v>
      </c>
      <c r="CK2" s="5" t="s">
        <v>7</v>
      </c>
      <c r="CL2" s="5" t="s">
        <v>8</v>
      </c>
    </row>
    <row r="3" spans="2:90">
      <c r="B3" s="5" t="str" cm="1">
        <f t="array" ref="B3:F113">_xlfn._xlws.FILTER(元!D4:H447, 元!D4:D447="マルテー")</f>
        <v>マルテー</v>
      </c>
      <c r="C3" t="str">
        <v>紅ほっぺ（断）</v>
      </c>
      <c r="D3">
        <v>100</v>
      </c>
      <c r="E3">
        <v>0</v>
      </c>
      <c r="F3">
        <v>0</v>
      </c>
      <c r="H3" t="str" cm="1">
        <f t="array" ref="H3:L17">_xlfn._xlws.FILTER(元!D4:H447, 元!D4:D447="三和")</f>
        <v>三和</v>
      </c>
      <c r="I3" t="str">
        <v>紅ほっぺ(断）</v>
      </c>
      <c r="J3">
        <v>100</v>
      </c>
      <c r="K3">
        <v>0</v>
      </c>
      <c r="L3">
        <v>1</v>
      </c>
      <c r="N3" t="str" cm="1">
        <f t="array" ref="N3:R23">_xlfn._xlws.FILTER(元!D4:H447, 元!D4:D447="QB")</f>
        <v>QB</v>
      </c>
      <c r="O3" t="str">
        <v>紅ほっぺ（断）</v>
      </c>
      <c r="P3">
        <v>195</v>
      </c>
      <c r="Q3">
        <v>0</v>
      </c>
      <c r="R3">
        <v>0</v>
      </c>
      <c r="T3" t="str" cm="1">
        <f t="array" ref="T3:X48">_xlfn._xlws.FILTER(元!D4:H447, 元!D4:D447="東レ")</f>
        <v>東レ</v>
      </c>
      <c r="U3" t="str">
        <v>紅ほっぺ（断）</v>
      </c>
      <c r="V3">
        <v>170</v>
      </c>
      <c r="W3">
        <v>0</v>
      </c>
      <c r="X3">
        <v>0</v>
      </c>
      <c r="Z3" t="str" cm="1">
        <f t="array" ref="Z3:AD28">_xlfn._xlws.FILTER(元!D4:H447, 元!D4:D447="Adobe")</f>
        <v>Adobe</v>
      </c>
      <c r="AA3" t="str">
        <v>かおり野</v>
      </c>
      <c r="AB3">
        <v>240</v>
      </c>
      <c r="AC3">
        <v>0</v>
      </c>
      <c r="AD3">
        <v>3</v>
      </c>
      <c r="AF3" t="str" cm="1">
        <f t="array" ref="AF3:AJ42">_xlfn._xlws.FILTER(元!D4:H447, 元!D4:D447="バリュ")</f>
        <v>バリュ</v>
      </c>
      <c r="AG3" t="str">
        <v>紅ほっぺ（断）</v>
      </c>
      <c r="AH3">
        <v>400</v>
      </c>
      <c r="AI3">
        <v>0</v>
      </c>
      <c r="AJ3">
        <v>0</v>
      </c>
      <c r="AL3" t="str" cm="1">
        <f t="array" ref="AL3:AP24">_xlfn._xlws.FILTER(元!D4:H447, 元!D4:D447="ソリトン")</f>
        <v>ソリトン</v>
      </c>
      <c r="AM3" t="str">
        <v>紅ほっぺ</v>
      </c>
      <c r="AN3">
        <v>100</v>
      </c>
      <c r="AO3">
        <v>0</v>
      </c>
      <c r="AP3">
        <v>0</v>
      </c>
      <c r="AR3" t="str" cm="1">
        <f t="array" ref="AR3:AV25">_xlfn._xlws.FILTER(元!D4:H447, 元!D4:D447="NaITO")</f>
        <v>NaITO</v>
      </c>
      <c r="AS3" t="str">
        <v>紅ほっぺ（断）</v>
      </c>
      <c r="AT3">
        <v>60</v>
      </c>
      <c r="AU3">
        <v>0</v>
      </c>
      <c r="AV3">
        <v>0</v>
      </c>
      <c r="AX3" t="str" cm="1">
        <f t="array" ref="AX3:BB19">_xlfn._xlws.FILTER(元!D4:H447, 元!D4:D447="岡部")</f>
        <v>岡部</v>
      </c>
      <c r="AY3" t="str">
        <v>紅ほっぺ</v>
      </c>
      <c r="AZ3">
        <v>500</v>
      </c>
      <c r="BA3">
        <v>0</v>
      </c>
      <c r="BB3">
        <v>3</v>
      </c>
      <c r="BD3" t="str" cm="1">
        <f t="array" ref="BD3:BH24">_xlfn._xlws.FILTER(元!D4:H447, 元!D4:D447="ケイアイ")</f>
        <v>ケイアイ</v>
      </c>
      <c r="BE3" t="str">
        <v>紅ほっぺ</v>
      </c>
      <c r="BF3">
        <v>1500</v>
      </c>
      <c r="BG3">
        <v>0</v>
      </c>
      <c r="BH3">
        <v>13</v>
      </c>
      <c r="BJ3" t="str" cm="1">
        <f t="array" ref="BJ3:BN22">_xlfn._xlws.FILTER(元!D4:H447, 元!D4:D447="富士機械")</f>
        <v>富士機械</v>
      </c>
      <c r="BK3" t="str">
        <v>やよい姫</v>
      </c>
      <c r="BL3">
        <v>800</v>
      </c>
      <c r="BM3">
        <v>0</v>
      </c>
      <c r="BN3">
        <v>7</v>
      </c>
      <c r="BP3" t="str" cm="1">
        <f t="array" ref="BP3:BT22">_xlfn._xlws.FILTER(元!D4:H447, 元!D4:D447="慈誠会")</f>
        <v>慈誠会</v>
      </c>
      <c r="BQ3" t="str">
        <v>紅ほっぺ</v>
      </c>
      <c r="BR3">
        <v>1080</v>
      </c>
      <c r="BS3">
        <v>740</v>
      </c>
      <c r="BT3">
        <v>9</v>
      </c>
      <c r="BV3" t="str" cm="1">
        <f t="array" ref="BV3:BZ23">_xlfn._xlws.FILTER(元!D4:H447, 元!D4:D447="富士機材")</f>
        <v>富士機材</v>
      </c>
      <c r="BW3" t="str">
        <v>やよい姫</v>
      </c>
      <c r="BX3">
        <v>440</v>
      </c>
      <c r="BY3">
        <v>1240</v>
      </c>
      <c r="BZ3">
        <v>3</v>
      </c>
      <c r="CB3" s="9" t="str" cm="1">
        <f t="array" ref="CB3:CF26">_xlfn._xlws.FILTER(元!D4:H447, ISNUMBER(SEARCH("昭和", 元!D4:D447)))</f>
        <v>昭和女子</v>
      </c>
      <c r="CC3" t="str">
        <v>紅ほっぺ</v>
      </c>
      <c r="CD3">
        <v>80</v>
      </c>
      <c r="CE3">
        <v>0</v>
      </c>
      <c r="CF3">
        <v>0</v>
      </c>
      <c r="CH3" s="9" t="str" cm="1">
        <f t="array" ref="CH3:CL18">_xlfn._xlws.FILTER(元!D4:H447,ISNUMBER(SEARCH("日建",元!D4:D447)))</f>
        <v>日建</v>
      </c>
      <c r="CI3" t="str">
        <v>紅ほっぺ（断）</v>
      </c>
      <c r="CJ3">
        <v>420</v>
      </c>
      <c r="CK3">
        <v>0</v>
      </c>
      <c r="CL3">
        <v>3</v>
      </c>
    </row>
    <row r="4" spans="2:90">
      <c r="B4" s="5" t="str">
        <v>マルテー</v>
      </c>
      <c r="C4" t="str">
        <v>紅ほっぺ（断）</v>
      </c>
      <c r="D4">
        <v>130</v>
      </c>
      <c r="E4">
        <v>0</v>
      </c>
      <c r="F4">
        <v>0</v>
      </c>
      <c r="H4" t="str">
        <v>三和</v>
      </c>
      <c r="I4" t="str">
        <v>紅ほっぺ（断）</v>
      </c>
      <c r="J4">
        <v>46</v>
      </c>
      <c r="K4">
        <v>0</v>
      </c>
      <c r="L4">
        <v>0</v>
      </c>
      <c r="N4" t="str">
        <v>QB</v>
      </c>
      <c r="O4" t="str">
        <v>紅ほっぺ（断）</v>
      </c>
      <c r="P4">
        <v>540</v>
      </c>
      <c r="Q4">
        <v>0</v>
      </c>
      <c r="R4">
        <v>3</v>
      </c>
      <c r="T4" t="str">
        <v>東レ</v>
      </c>
      <c r="U4" t="str">
        <v>よつぼし</v>
      </c>
      <c r="V4">
        <v>0</v>
      </c>
      <c r="W4">
        <v>200</v>
      </c>
      <c r="X4">
        <v>0</v>
      </c>
      <c r="Z4" t="str">
        <v>Adobe</v>
      </c>
      <c r="AA4" t="str">
        <v>かおり野</v>
      </c>
      <c r="AB4">
        <v>1510</v>
      </c>
      <c r="AC4">
        <v>0</v>
      </c>
      <c r="AD4">
        <v>12</v>
      </c>
      <c r="AF4" t="str">
        <v>バリュ</v>
      </c>
      <c r="AG4" t="str">
        <v>紅ほっぺ</v>
      </c>
      <c r="AH4">
        <v>1140</v>
      </c>
      <c r="AI4">
        <v>0</v>
      </c>
      <c r="AJ4">
        <v>0</v>
      </c>
      <c r="AL4" t="str">
        <v>ソリトン</v>
      </c>
      <c r="AM4" t="str">
        <v>紅ほっぺ</v>
      </c>
      <c r="AN4">
        <v>960</v>
      </c>
      <c r="AO4">
        <v>0</v>
      </c>
      <c r="AP4">
        <v>5</v>
      </c>
      <c r="AR4" t="str">
        <v>NaITO</v>
      </c>
      <c r="AS4" t="str">
        <v>紅ほっぺ（断）</v>
      </c>
      <c r="AT4">
        <v>1480</v>
      </c>
      <c r="AU4">
        <v>0</v>
      </c>
      <c r="AV4">
        <v>13</v>
      </c>
      <c r="AX4" t="str">
        <v>岡部</v>
      </c>
      <c r="AY4" t="str">
        <v>紅ほっぺ</v>
      </c>
      <c r="AZ4">
        <v>740</v>
      </c>
      <c r="BA4">
        <v>0</v>
      </c>
      <c r="BB4">
        <v>6</v>
      </c>
      <c r="BD4" t="str">
        <v>ケイアイ</v>
      </c>
      <c r="BE4" t="str">
        <v>紅ほっぺ</v>
      </c>
      <c r="BF4">
        <v>2732</v>
      </c>
      <c r="BG4">
        <v>321</v>
      </c>
      <c r="BH4">
        <v>22</v>
      </c>
      <c r="BJ4" t="str">
        <v>富士機械</v>
      </c>
      <c r="BK4" t="str">
        <v>やよいひめ</v>
      </c>
      <c r="BL4">
        <v>1820</v>
      </c>
      <c r="BM4">
        <v>158</v>
      </c>
      <c r="BN4">
        <v>15</v>
      </c>
      <c r="BP4" t="str">
        <v>慈誠会</v>
      </c>
      <c r="BQ4" t="str">
        <v>紅ほっぺ</v>
      </c>
      <c r="BR4">
        <v>600</v>
      </c>
      <c r="BS4">
        <v>90</v>
      </c>
      <c r="BT4">
        <v>5</v>
      </c>
      <c r="BV4" t="str">
        <v>富士機材</v>
      </c>
      <c r="BW4" t="str">
        <v>やよいひめ</v>
      </c>
      <c r="BX4">
        <v>260</v>
      </c>
      <c r="BY4">
        <v>110</v>
      </c>
      <c r="BZ4">
        <v>1</v>
      </c>
      <c r="CB4" t="str">
        <v>昭和女子</v>
      </c>
      <c r="CC4" t="str">
        <v>紅ほっぺ</v>
      </c>
      <c r="CD4">
        <v>120</v>
      </c>
      <c r="CE4">
        <v>0</v>
      </c>
      <c r="CF4">
        <v>0</v>
      </c>
      <c r="CH4" t="str">
        <v>日建</v>
      </c>
      <c r="CI4" t="str">
        <v>紅ほっぺ（無）</v>
      </c>
      <c r="CJ4">
        <v>840</v>
      </c>
      <c r="CK4">
        <v>80</v>
      </c>
      <c r="CL4">
        <v>5</v>
      </c>
    </row>
    <row r="5" spans="2:90">
      <c r="B5" s="5" t="str">
        <v>マルテー</v>
      </c>
      <c r="C5" t="str">
        <v>紅ほっぺ（断）</v>
      </c>
      <c r="D5">
        <v>100</v>
      </c>
      <c r="E5">
        <v>0</v>
      </c>
      <c r="F5">
        <v>0</v>
      </c>
      <c r="H5" t="str">
        <v>三和</v>
      </c>
      <c r="I5" t="str">
        <v>紅ほっぺ（断）</v>
      </c>
      <c r="J5">
        <v>240</v>
      </c>
      <c r="K5">
        <v>0</v>
      </c>
      <c r="L5">
        <v>0</v>
      </c>
      <c r="N5" t="str">
        <v>QB</v>
      </c>
      <c r="O5" t="str">
        <v>紅ほっぺ（断）</v>
      </c>
      <c r="P5">
        <v>80</v>
      </c>
      <c r="Q5">
        <v>0</v>
      </c>
      <c r="R5">
        <v>0</v>
      </c>
      <c r="T5" t="str">
        <v>東レ</v>
      </c>
      <c r="U5" t="str">
        <v>よつぼし</v>
      </c>
      <c r="V5">
        <v>440</v>
      </c>
      <c r="W5">
        <v>0</v>
      </c>
      <c r="X5">
        <v>4</v>
      </c>
      <c r="Z5" t="str">
        <v>Adobe</v>
      </c>
      <c r="AA5" t="str">
        <v>かおり野</v>
      </c>
      <c r="AB5">
        <v>3340</v>
      </c>
      <c r="AC5">
        <v>0</v>
      </c>
      <c r="AD5">
        <v>32</v>
      </c>
      <c r="AF5" t="str">
        <v>バリュ</v>
      </c>
      <c r="AG5" t="str">
        <v>紅ほっぺ</v>
      </c>
      <c r="AH5">
        <v>1320</v>
      </c>
      <c r="AI5">
        <v>0</v>
      </c>
      <c r="AJ5">
        <v>11</v>
      </c>
      <c r="AL5" t="str">
        <v>ソリトン</v>
      </c>
      <c r="AM5" t="str">
        <v>紅ほっぺ</v>
      </c>
      <c r="AN5">
        <v>980</v>
      </c>
      <c r="AO5">
        <v>0</v>
      </c>
      <c r="AP5">
        <v>8</v>
      </c>
      <c r="AR5" t="str">
        <v>NaITO</v>
      </c>
      <c r="AS5" t="str">
        <v>紅ほっぺ（無）</v>
      </c>
      <c r="AT5">
        <v>950</v>
      </c>
      <c r="AU5">
        <v>130</v>
      </c>
      <c r="AV5">
        <v>8</v>
      </c>
      <c r="AX5" t="str">
        <v>岡部</v>
      </c>
      <c r="AY5" t="str">
        <v>紅ほっぺ</v>
      </c>
      <c r="AZ5">
        <v>880</v>
      </c>
      <c r="BA5">
        <v>94</v>
      </c>
      <c r="BB5">
        <v>7</v>
      </c>
      <c r="BD5" t="str">
        <v>ケイアイ</v>
      </c>
      <c r="BE5" t="str">
        <v>紅ほっぺ</v>
      </c>
      <c r="BF5">
        <v>2500</v>
      </c>
      <c r="BG5">
        <v>760</v>
      </c>
      <c r="BH5">
        <v>16</v>
      </c>
      <c r="BJ5" t="str">
        <v>富士機械</v>
      </c>
      <c r="BK5" t="str">
        <v>やよいひめ</v>
      </c>
      <c r="BL5">
        <v>1680</v>
      </c>
      <c r="BM5">
        <v>1540</v>
      </c>
      <c r="BN5">
        <v>12</v>
      </c>
      <c r="BP5" t="str">
        <v>慈誠会</v>
      </c>
      <c r="BQ5" t="str">
        <v>紅ほっぺ</v>
      </c>
      <c r="BR5">
        <v>730</v>
      </c>
      <c r="BS5">
        <v>390</v>
      </c>
      <c r="BT5">
        <v>5</v>
      </c>
      <c r="BV5" t="str">
        <v>富士機材</v>
      </c>
      <c r="BW5" t="str">
        <v>やよいひめ</v>
      </c>
      <c r="BX5">
        <v>868</v>
      </c>
      <c r="BY5">
        <v>712</v>
      </c>
      <c r="BZ5">
        <v>7</v>
      </c>
      <c r="CB5" t="str">
        <v>昭和女子</v>
      </c>
      <c r="CC5" t="str">
        <v>紅ほっぺ</v>
      </c>
      <c r="CD5">
        <v>340</v>
      </c>
      <c r="CE5">
        <v>0</v>
      </c>
      <c r="CF5">
        <v>0</v>
      </c>
      <c r="CH5" t="str">
        <v>日建</v>
      </c>
      <c r="CI5" t="str">
        <v>紅ほっぺ</v>
      </c>
      <c r="CJ5">
        <v>1620</v>
      </c>
      <c r="CK5">
        <v>450</v>
      </c>
      <c r="CL5">
        <v>0</v>
      </c>
    </row>
    <row r="6" spans="2:90">
      <c r="B6" s="5" t="str">
        <v>マルテー</v>
      </c>
      <c r="C6" t="str">
        <v>紅ほっぺ（断）</v>
      </c>
      <c r="D6">
        <v>320</v>
      </c>
      <c r="E6">
        <v>0</v>
      </c>
      <c r="F6">
        <v>3</v>
      </c>
      <c r="H6" t="str">
        <v>三和</v>
      </c>
      <c r="I6" t="str">
        <v>紅ほっぺ（断）</v>
      </c>
      <c r="J6">
        <v>380</v>
      </c>
      <c r="K6">
        <v>0</v>
      </c>
      <c r="L6">
        <v>2</v>
      </c>
      <c r="N6" t="str">
        <v>QB</v>
      </c>
      <c r="O6" t="str">
        <v>紅ほっぺ（断）</v>
      </c>
      <c r="P6">
        <v>320</v>
      </c>
      <c r="Q6">
        <v>0</v>
      </c>
      <c r="R6">
        <v>0</v>
      </c>
      <c r="T6" t="str">
        <v>東レ</v>
      </c>
      <c r="U6" t="str">
        <v>よつぼし</v>
      </c>
      <c r="V6">
        <v>960</v>
      </c>
      <c r="W6">
        <v>560</v>
      </c>
      <c r="X6">
        <v>8</v>
      </c>
      <c r="Z6" t="str">
        <v>Adobe</v>
      </c>
      <c r="AA6" t="str">
        <v>かおり野</v>
      </c>
      <c r="AB6">
        <v>5140</v>
      </c>
      <c r="AC6">
        <v>0</v>
      </c>
      <c r="AD6">
        <v>31</v>
      </c>
      <c r="AF6" t="str">
        <v>バリュ</v>
      </c>
      <c r="AG6" t="str">
        <v>紅ほっぺ</v>
      </c>
      <c r="AH6">
        <v>886</v>
      </c>
      <c r="AI6">
        <v>654</v>
      </c>
      <c r="AJ6">
        <v>8</v>
      </c>
      <c r="AL6" t="str">
        <v>ソリトン</v>
      </c>
      <c r="AM6" t="str">
        <v>紅ほっぺ</v>
      </c>
      <c r="AN6">
        <v>880</v>
      </c>
      <c r="AO6">
        <v>208</v>
      </c>
      <c r="AP6">
        <v>7</v>
      </c>
      <c r="AR6" t="str">
        <v>NaITO</v>
      </c>
      <c r="AS6" t="str">
        <v>紅ほっぺ（無）</v>
      </c>
      <c r="AT6">
        <v>810</v>
      </c>
      <c r="AU6">
        <v>660</v>
      </c>
      <c r="AV6">
        <v>6</v>
      </c>
      <c r="AX6" t="str">
        <v>岡部</v>
      </c>
      <c r="AY6" t="str">
        <v>紅ほっぺ</v>
      </c>
      <c r="AZ6">
        <v>300</v>
      </c>
      <c r="BA6">
        <v>240</v>
      </c>
      <c r="BB6">
        <v>3</v>
      </c>
      <c r="BD6" t="str">
        <v>ケイアイ</v>
      </c>
      <c r="BE6" t="str">
        <v>紅ほっぺ</v>
      </c>
      <c r="BF6">
        <v>1960</v>
      </c>
      <c r="BG6">
        <v>880</v>
      </c>
      <c r="BH6">
        <v>18</v>
      </c>
      <c r="BJ6" t="str">
        <v>富士機械</v>
      </c>
      <c r="BK6" t="str">
        <v>やよいひめ</v>
      </c>
      <c r="BL6">
        <v>1200</v>
      </c>
      <c r="BM6">
        <v>1640</v>
      </c>
      <c r="BN6">
        <v>11</v>
      </c>
      <c r="BP6" t="str">
        <v>慈誠会</v>
      </c>
      <c r="BQ6" t="str">
        <v>紅ほっぺ</v>
      </c>
      <c r="BR6">
        <v>510</v>
      </c>
      <c r="BS6">
        <v>90</v>
      </c>
      <c r="BT6">
        <v>5</v>
      </c>
      <c r="BV6" t="str">
        <v>富士機材</v>
      </c>
      <c r="BW6" t="str">
        <v>やよいひめ</v>
      </c>
      <c r="BX6">
        <v>1370</v>
      </c>
      <c r="BY6">
        <v>1430</v>
      </c>
      <c r="BZ6">
        <v>11</v>
      </c>
      <c r="CB6" t="str">
        <v>昭和女子</v>
      </c>
      <c r="CC6" t="str">
        <v>紅ほっぺ</v>
      </c>
      <c r="CD6">
        <v>600</v>
      </c>
      <c r="CE6">
        <v>0</v>
      </c>
      <c r="CF6">
        <v>5</v>
      </c>
      <c r="CH6" t="str">
        <v>日建</v>
      </c>
      <c r="CI6" t="str">
        <v>紅ほっぺ（無）</v>
      </c>
      <c r="CJ6">
        <v>460</v>
      </c>
      <c r="CK6">
        <v>440</v>
      </c>
      <c r="CL6">
        <v>4</v>
      </c>
    </row>
    <row r="7" spans="2:90">
      <c r="B7" s="5" t="str">
        <v>マルテー</v>
      </c>
      <c r="C7" t="str">
        <v>紅ほっぺ（断）</v>
      </c>
      <c r="D7">
        <v>260</v>
      </c>
      <c r="E7">
        <v>0</v>
      </c>
      <c r="F7">
        <v>0</v>
      </c>
      <c r="H7" t="str">
        <v>三和</v>
      </c>
      <c r="I7">
        <v>0</v>
      </c>
      <c r="J7">
        <v>0</v>
      </c>
      <c r="K7">
        <v>0</v>
      </c>
      <c r="L7">
        <v>0</v>
      </c>
      <c r="N7" t="str">
        <v>QB</v>
      </c>
      <c r="O7" t="str">
        <v>紅ほっぺ（断）</v>
      </c>
      <c r="P7">
        <v>100</v>
      </c>
      <c r="Q7">
        <v>0</v>
      </c>
      <c r="R7">
        <v>0</v>
      </c>
      <c r="T7" t="str">
        <v>東レ</v>
      </c>
      <c r="U7" t="str">
        <v>紅ほっぺ</v>
      </c>
      <c r="V7">
        <v>3940</v>
      </c>
      <c r="W7">
        <v>0</v>
      </c>
      <c r="X7">
        <v>28</v>
      </c>
      <c r="Z7" t="str">
        <v>Adobe</v>
      </c>
      <c r="AA7" t="str">
        <v>かおり野</v>
      </c>
      <c r="AB7">
        <v>840</v>
      </c>
      <c r="AC7">
        <v>0</v>
      </c>
      <c r="AD7">
        <v>0</v>
      </c>
      <c r="AF7" t="str">
        <v>バリュ</v>
      </c>
      <c r="AG7" t="str">
        <v>紅ほっぺ</v>
      </c>
      <c r="AH7">
        <v>1080</v>
      </c>
      <c r="AI7">
        <v>430</v>
      </c>
      <c r="AJ7">
        <v>5</v>
      </c>
      <c r="AL7" t="str">
        <v>ソリトン</v>
      </c>
      <c r="AM7" t="str">
        <v>紅ほっぺ</v>
      </c>
      <c r="AN7">
        <v>1480</v>
      </c>
      <c r="AO7">
        <v>0</v>
      </c>
      <c r="AP7">
        <v>12</v>
      </c>
      <c r="AR7" t="str">
        <v>NaITO</v>
      </c>
      <c r="AS7" t="str">
        <v>紅ほっぺ（無）</v>
      </c>
      <c r="AT7">
        <v>330</v>
      </c>
      <c r="AU7">
        <v>190</v>
      </c>
      <c r="AV7">
        <v>3</v>
      </c>
      <c r="AX7" t="str">
        <v>岡部</v>
      </c>
      <c r="AY7" t="str">
        <v>紅ほっぺ</v>
      </c>
      <c r="AZ7">
        <v>320</v>
      </c>
      <c r="BA7">
        <v>180</v>
      </c>
      <c r="BB7">
        <v>3</v>
      </c>
      <c r="BD7" t="str">
        <v>ケイアイ</v>
      </c>
      <c r="BE7" t="str">
        <v>紅ほっぺ</v>
      </c>
      <c r="BF7">
        <v>2440</v>
      </c>
      <c r="BG7">
        <v>340</v>
      </c>
      <c r="BH7">
        <v>16</v>
      </c>
      <c r="BJ7" t="str">
        <v>富士機械</v>
      </c>
      <c r="BK7" t="str">
        <v>やよいひめ</v>
      </c>
      <c r="BL7">
        <v>1060</v>
      </c>
      <c r="BM7">
        <v>2560</v>
      </c>
      <c r="BN7">
        <v>8</v>
      </c>
      <c r="BP7" t="str">
        <v>慈誠会</v>
      </c>
      <c r="BQ7" t="str">
        <v>紅ほっぺ</v>
      </c>
      <c r="BR7">
        <v>110</v>
      </c>
      <c r="BS7">
        <v>250</v>
      </c>
      <c r="BT7">
        <v>1</v>
      </c>
      <c r="BV7" t="str">
        <v>富士機材</v>
      </c>
      <c r="BW7" t="str">
        <v>やよいひめ</v>
      </c>
      <c r="BX7">
        <v>1160</v>
      </c>
      <c r="BY7">
        <v>1600</v>
      </c>
      <c r="BZ7">
        <v>9</v>
      </c>
      <c r="CB7" t="str">
        <v>昭和</v>
      </c>
      <c r="CC7" t="str">
        <v>紅ほっぺ</v>
      </c>
      <c r="CD7">
        <v>840</v>
      </c>
      <c r="CE7">
        <v>147</v>
      </c>
      <c r="CF7">
        <v>6</v>
      </c>
      <c r="CH7" t="str">
        <v>日建（遅）</v>
      </c>
      <c r="CI7" t="str">
        <v>紅ほっぺ</v>
      </c>
      <c r="CJ7">
        <v>740</v>
      </c>
      <c r="CK7">
        <v>300</v>
      </c>
      <c r="CL7">
        <v>4</v>
      </c>
    </row>
    <row r="8" spans="2:90">
      <c r="B8" s="5" t="str">
        <v>マルテー</v>
      </c>
      <c r="C8" t="str">
        <v>紅ほっぺ（断）</v>
      </c>
      <c r="D8">
        <v>320</v>
      </c>
      <c r="E8">
        <v>0</v>
      </c>
      <c r="F8">
        <v>0</v>
      </c>
      <c r="H8" t="str">
        <v>三和</v>
      </c>
      <c r="I8" t="str">
        <v>紅ほっぺ</v>
      </c>
      <c r="J8">
        <v>0</v>
      </c>
      <c r="K8">
        <v>0</v>
      </c>
      <c r="L8">
        <v>0</v>
      </c>
      <c r="N8" t="str">
        <v>QB</v>
      </c>
      <c r="O8" t="str">
        <v>紅ほっぺ（断）</v>
      </c>
      <c r="P8">
        <v>300</v>
      </c>
      <c r="Q8">
        <v>0</v>
      </c>
      <c r="R8">
        <v>1</v>
      </c>
      <c r="T8" t="str">
        <v>東レ</v>
      </c>
      <c r="U8" t="str">
        <v>よつぼし</v>
      </c>
      <c r="V8">
        <v>160</v>
      </c>
      <c r="W8">
        <v>800</v>
      </c>
      <c r="X8">
        <v>0</v>
      </c>
      <c r="Z8" t="str">
        <v>Adobe</v>
      </c>
      <c r="AA8" t="str">
        <v>かおり野</v>
      </c>
      <c r="AB8">
        <v>1600</v>
      </c>
      <c r="AC8">
        <v>500</v>
      </c>
      <c r="AD8">
        <v>15</v>
      </c>
      <c r="AF8" t="str">
        <v>バリュ</v>
      </c>
      <c r="AG8" t="str">
        <v>紅ほっぺ</v>
      </c>
      <c r="AH8">
        <v>160</v>
      </c>
      <c r="AI8">
        <v>380</v>
      </c>
      <c r="AJ8">
        <v>1</v>
      </c>
      <c r="AL8" t="str">
        <v>ソリトン</v>
      </c>
      <c r="AM8" t="str">
        <v>紅ほっぺ</v>
      </c>
      <c r="AN8">
        <v>780</v>
      </c>
      <c r="AO8">
        <v>260</v>
      </c>
      <c r="AP8">
        <v>7</v>
      </c>
      <c r="AR8" t="str">
        <v>NaITO</v>
      </c>
      <c r="AS8" t="str">
        <v>紅ほっぺ（無）</v>
      </c>
      <c r="AT8">
        <v>850</v>
      </c>
      <c r="AU8">
        <v>230</v>
      </c>
      <c r="AV8">
        <v>4</v>
      </c>
      <c r="AX8" t="str">
        <v>岡部</v>
      </c>
      <c r="AY8" t="str">
        <v>紅ほっぺ</v>
      </c>
      <c r="AZ8">
        <v>140</v>
      </c>
      <c r="BA8">
        <v>300</v>
      </c>
      <c r="BB8">
        <v>1</v>
      </c>
      <c r="BD8" t="str">
        <v>ケイアイ</v>
      </c>
      <c r="BE8" t="str">
        <v>紅ほっぺ</v>
      </c>
      <c r="BF8">
        <v>1340</v>
      </c>
      <c r="BG8">
        <v>740</v>
      </c>
      <c r="BH8">
        <v>10</v>
      </c>
      <c r="BJ8" t="str">
        <v>富士機械</v>
      </c>
      <c r="BK8" t="str">
        <v>やよいひめ</v>
      </c>
      <c r="BL8">
        <v>600</v>
      </c>
      <c r="BM8">
        <v>1760</v>
      </c>
      <c r="BN8">
        <v>5</v>
      </c>
      <c r="BP8" t="str">
        <v>慈誠会</v>
      </c>
      <c r="BQ8" t="str">
        <v>紅ほっぺ</v>
      </c>
      <c r="BR8">
        <v>100</v>
      </c>
      <c r="BS8">
        <v>320</v>
      </c>
      <c r="BT8">
        <v>1</v>
      </c>
      <c r="BV8" t="str">
        <v>富士機材</v>
      </c>
      <c r="BW8" t="str">
        <v>やよいひめ</v>
      </c>
      <c r="BX8">
        <v>0</v>
      </c>
      <c r="BY8">
        <v>0</v>
      </c>
      <c r="BZ8">
        <v>0</v>
      </c>
      <c r="CB8" t="str">
        <v>昭和</v>
      </c>
      <c r="CC8" t="str">
        <v>紅ほっぺ</v>
      </c>
      <c r="CD8">
        <v>820</v>
      </c>
      <c r="CE8">
        <v>747</v>
      </c>
      <c r="CF8">
        <v>8</v>
      </c>
      <c r="CH8" t="str">
        <v>日建</v>
      </c>
      <c r="CI8" t="str">
        <v>紅ほっぺ（無）</v>
      </c>
      <c r="CJ8">
        <v>0</v>
      </c>
      <c r="CK8">
        <v>0</v>
      </c>
      <c r="CL8">
        <v>0</v>
      </c>
    </row>
    <row r="9" spans="2:90">
      <c r="B9" s="5" t="str">
        <v>マルテー</v>
      </c>
      <c r="C9" t="str">
        <v>よつぼし</v>
      </c>
      <c r="D9">
        <v>46</v>
      </c>
      <c r="E9">
        <v>0</v>
      </c>
      <c r="F9">
        <v>0</v>
      </c>
      <c r="H9" t="str">
        <v>三和</v>
      </c>
      <c r="I9" t="str">
        <v>紅ほっぺ</v>
      </c>
      <c r="J9">
        <v>500</v>
      </c>
      <c r="K9">
        <v>320</v>
      </c>
      <c r="L9">
        <v>0</v>
      </c>
      <c r="N9" t="str">
        <v>QB</v>
      </c>
      <c r="O9" t="str">
        <v>紅ほっぺ（無）</v>
      </c>
      <c r="P9">
        <v>380</v>
      </c>
      <c r="Q9">
        <v>180</v>
      </c>
      <c r="R9">
        <v>3</v>
      </c>
      <c r="T9" t="str">
        <v>東レ</v>
      </c>
      <c r="U9" t="str">
        <v>よつぼし</v>
      </c>
      <c r="V9">
        <v>1240</v>
      </c>
      <c r="W9">
        <v>0</v>
      </c>
      <c r="X9">
        <v>10</v>
      </c>
      <c r="Z9" t="str">
        <v>Adobe</v>
      </c>
      <c r="AA9" t="str">
        <v>かおり野</v>
      </c>
      <c r="AB9">
        <v>4700</v>
      </c>
      <c r="AC9">
        <v>0</v>
      </c>
      <c r="AD9">
        <v>42</v>
      </c>
      <c r="AF9" t="str">
        <v>バリュ</v>
      </c>
      <c r="AG9" t="str">
        <v>紅ほっぺ</v>
      </c>
      <c r="AH9">
        <v>220</v>
      </c>
      <c r="AI9">
        <v>180</v>
      </c>
      <c r="AJ9">
        <v>2</v>
      </c>
      <c r="AL9" t="str">
        <v>ソリトン</v>
      </c>
      <c r="AM9" t="str">
        <v>紅ほっぺ</v>
      </c>
      <c r="AN9">
        <v>520</v>
      </c>
      <c r="AO9">
        <v>120</v>
      </c>
      <c r="AP9">
        <v>5</v>
      </c>
      <c r="AR9" t="str">
        <v>NaITO</v>
      </c>
      <c r="AS9" t="str">
        <v>紅ほっぺ（無）</v>
      </c>
      <c r="AT9">
        <v>210</v>
      </c>
      <c r="AU9">
        <v>390</v>
      </c>
      <c r="AV9">
        <v>1</v>
      </c>
      <c r="AX9" t="str">
        <v>岡部</v>
      </c>
      <c r="AY9" t="str">
        <v>紅ほっぺ</v>
      </c>
      <c r="AZ9">
        <v>240</v>
      </c>
      <c r="BA9">
        <v>0</v>
      </c>
      <c r="BB9">
        <v>0</v>
      </c>
      <c r="BD9" t="str">
        <v>ケイアイ</v>
      </c>
      <c r="BE9" t="str">
        <v>紅ほっぺ</v>
      </c>
      <c r="BF9">
        <v>430</v>
      </c>
      <c r="BG9">
        <v>830</v>
      </c>
      <c r="BH9">
        <v>0</v>
      </c>
      <c r="BJ9" t="str">
        <v>富士機械</v>
      </c>
      <c r="BK9" t="str">
        <v>やよいひめ</v>
      </c>
      <c r="BL9">
        <v>250</v>
      </c>
      <c r="BM9">
        <v>1510</v>
      </c>
      <c r="BN9">
        <v>2</v>
      </c>
      <c r="BP9" t="str">
        <v>慈誠会</v>
      </c>
      <c r="BQ9" t="str">
        <v>紅ほっぺ</v>
      </c>
      <c r="BR9">
        <v>30</v>
      </c>
      <c r="BS9">
        <v>260</v>
      </c>
      <c r="BT9">
        <v>0</v>
      </c>
      <c r="BV9" t="str">
        <v>富士機材</v>
      </c>
      <c r="BW9" t="str">
        <v>やよいひめ</v>
      </c>
      <c r="BX9">
        <v>1340</v>
      </c>
      <c r="BY9">
        <v>2060</v>
      </c>
      <c r="BZ9">
        <v>7</v>
      </c>
      <c r="CB9" t="str">
        <v>昭和</v>
      </c>
      <c r="CC9" t="str">
        <v>紅ほっぺ</v>
      </c>
      <c r="CD9">
        <v>114</v>
      </c>
      <c r="CE9">
        <v>366</v>
      </c>
      <c r="CF9">
        <v>1</v>
      </c>
      <c r="CH9" t="str">
        <v>日建（遅）</v>
      </c>
      <c r="CI9" t="str">
        <v>紅ほっぺ</v>
      </c>
      <c r="CJ9">
        <v>0</v>
      </c>
      <c r="CK9">
        <v>0</v>
      </c>
      <c r="CL9">
        <v>0</v>
      </c>
    </row>
    <row r="10" spans="2:90">
      <c r="B10" s="5" t="str">
        <v>マルテー</v>
      </c>
      <c r="C10" t="str">
        <v>紅ほっぺ（断）</v>
      </c>
      <c r="D10">
        <v>200</v>
      </c>
      <c r="E10">
        <v>0</v>
      </c>
      <c r="F10">
        <v>0</v>
      </c>
      <c r="H10" t="str">
        <v>三和</v>
      </c>
      <c r="I10" t="str">
        <v>紅ほっぺ</v>
      </c>
      <c r="J10">
        <v>0</v>
      </c>
      <c r="K10">
        <v>0</v>
      </c>
      <c r="L10">
        <v>0</v>
      </c>
      <c r="N10" t="str">
        <v>QB</v>
      </c>
      <c r="O10" t="str">
        <v>紅ほっぺ（無）</v>
      </c>
      <c r="P10">
        <v>480</v>
      </c>
      <c r="Q10">
        <v>100</v>
      </c>
      <c r="R10">
        <v>3</v>
      </c>
      <c r="T10" t="str">
        <v>東レ</v>
      </c>
      <c r="U10" t="str">
        <v>紅ほっぺ</v>
      </c>
      <c r="V10">
        <v>820</v>
      </c>
      <c r="W10">
        <v>0</v>
      </c>
      <c r="X10">
        <v>7</v>
      </c>
      <c r="Z10" t="str">
        <v>Adobe</v>
      </c>
      <c r="AA10" t="str">
        <v>かおり野</v>
      </c>
      <c r="AB10">
        <v>1460</v>
      </c>
      <c r="AC10">
        <v>0</v>
      </c>
      <c r="AD10">
        <v>12</v>
      </c>
      <c r="AF10" t="str">
        <v>バリュ</v>
      </c>
      <c r="AG10" t="str">
        <v>紅ほっぺ</v>
      </c>
      <c r="AH10">
        <v>170</v>
      </c>
      <c r="AI10">
        <v>135</v>
      </c>
      <c r="AJ10">
        <v>1</v>
      </c>
      <c r="AL10" t="str">
        <v>ソリトン</v>
      </c>
      <c r="AM10" t="str">
        <v>紅ほっぺ</v>
      </c>
      <c r="AN10">
        <v>600</v>
      </c>
      <c r="AO10">
        <v>439</v>
      </c>
      <c r="AP10">
        <v>4</v>
      </c>
      <c r="AR10" t="str">
        <v>NaITO</v>
      </c>
      <c r="AS10" t="str">
        <v>紅ほっぺ（無）</v>
      </c>
      <c r="AT10">
        <v>45</v>
      </c>
      <c r="AU10">
        <v>426</v>
      </c>
      <c r="AV10">
        <v>1</v>
      </c>
      <c r="AX10" t="str">
        <v>岡部</v>
      </c>
      <c r="AY10" t="str">
        <v>紅ほっぺ</v>
      </c>
      <c r="AZ10">
        <v>0</v>
      </c>
      <c r="BA10">
        <v>360</v>
      </c>
      <c r="BB10">
        <v>0</v>
      </c>
      <c r="BD10" t="str">
        <v>ケイアイ</v>
      </c>
      <c r="BE10" t="str">
        <v>紅ほっぺ</v>
      </c>
      <c r="BF10">
        <v>0</v>
      </c>
      <c r="BG10">
        <v>0</v>
      </c>
      <c r="BH10">
        <v>0</v>
      </c>
      <c r="BJ10" t="str">
        <v>富士機械</v>
      </c>
      <c r="BK10" t="str">
        <v>弥生姫</v>
      </c>
      <c r="BL10">
        <v>50</v>
      </c>
      <c r="BM10">
        <v>1320</v>
      </c>
      <c r="BN10">
        <v>0</v>
      </c>
      <c r="BP10" t="str">
        <v>慈誠会</v>
      </c>
      <c r="BQ10" t="str">
        <v>紅ほっぺ</v>
      </c>
      <c r="BR10">
        <v>0</v>
      </c>
      <c r="BS10">
        <v>40</v>
      </c>
      <c r="BT10">
        <v>0</v>
      </c>
      <c r="BV10" t="str">
        <v>富士機材</v>
      </c>
      <c r="BW10" t="str">
        <v>弥生姫</v>
      </c>
      <c r="BX10">
        <v>460</v>
      </c>
      <c r="BY10">
        <v>1620</v>
      </c>
      <c r="BZ10">
        <v>3</v>
      </c>
      <c r="CB10" t="str">
        <v>昭和</v>
      </c>
      <c r="CC10" t="str">
        <v>紅ほっぺ</v>
      </c>
      <c r="CD10">
        <v>550</v>
      </c>
      <c r="CE10">
        <v>230</v>
      </c>
      <c r="CF10">
        <v>5</v>
      </c>
      <c r="CH10" t="str">
        <v>日建</v>
      </c>
      <c r="CI10" t="str">
        <v>紅ほっぺ（無）</v>
      </c>
      <c r="CJ10">
        <v>240</v>
      </c>
      <c r="CK10">
        <v>720</v>
      </c>
      <c r="CL10">
        <v>2</v>
      </c>
    </row>
    <row r="11" spans="2:90">
      <c r="B11" s="5" t="str">
        <v>マルテー</v>
      </c>
      <c r="C11" t="str">
        <v>かおり野</v>
      </c>
      <c r="D11">
        <v>120</v>
      </c>
      <c r="E11">
        <v>0</v>
      </c>
      <c r="F11">
        <v>0</v>
      </c>
      <c r="H11" t="str">
        <v>三和</v>
      </c>
      <c r="I11" t="str">
        <v>紅ほっぺ</v>
      </c>
      <c r="J11">
        <v>260</v>
      </c>
      <c r="K11">
        <v>530</v>
      </c>
      <c r="L11">
        <v>1</v>
      </c>
      <c r="N11" t="str">
        <v>QB</v>
      </c>
      <c r="O11" t="str">
        <v>紅ほっぺ（無）</v>
      </c>
      <c r="P11">
        <v>420</v>
      </c>
      <c r="Q11">
        <v>260</v>
      </c>
      <c r="R11">
        <v>4</v>
      </c>
      <c r="T11" t="str">
        <v>東レ</v>
      </c>
      <c r="U11" t="str">
        <v>よつぼし</v>
      </c>
      <c r="V11">
        <v>1880</v>
      </c>
      <c r="W11">
        <v>2480</v>
      </c>
      <c r="X11">
        <v>10</v>
      </c>
      <c r="Z11" t="str">
        <v>Adobe</v>
      </c>
      <c r="AA11" t="str">
        <v>かおり野</v>
      </c>
      <c r="AB11">
        <v>820</v>
      </c>
      <c r="AC11">
        <v>822</v>
      </c>
      <c r="AD11">
        <v>8</v>
      </c>
      <c r="AF11" t="str">
        <v>バリュ</v>
      </c>
      <c r="AG11" t="str">
        <v>紅ほっぺ</v>
      </c>
      <c r="AH11">
        <v>0</v>
      </c>
      <c r="AI11">
        <v>0</v>
      </c>
      <c r="AJ11">
        <v>0</v>
      </c>
      <c r="AL11" t="str">
        <v>ソリトン</v>
      </c>
      <c r="AM11" t="str">
        <v>紅ほっぺ</v>
      </c>
      <c r="AN11">
        <v>740</v>
      </c>
      <c r="AO11">
        <v>500</v>
      </c>
      <c r="AP11">
        <v>7</v>
      </c>
      <c r="AR11" t="str">
        <v>NaITO</v>
      </c>
      <c r="AS11" t="str">
        <v>紅ほっぺ（無）</v>
      </c>
      <c r="AT11">
        <v>0</v>
      </c>
      <c r="AU11">
        <v>843</v>
      </c>
      <c r="AV11">
        <v>0</v>
      </c>
      <c r="AX11" t="str">
        <v>岡部</v>
      </c>
      <c r="AY11" t="str">
        <v>紅ほっぺ</v>
      </c>
      <c r="AZ11">
        <v>0</v>
      </c>
      <c r="BA11">
        <v>630</v>
      </c>
      <c r="BB11">
        <v>0</v>
      </c>
      <c r="BD11" t="str">
        <v>ケイアイ</v>
      </c>
      <c r="BE11" t="str">
        <v>紅ほっぺ</v>
      </c>
      <c r="BF11">
        <v>0</v>
      </c>
      <c r="BG11">
        <v>40</v>
      </c>
      <c r="BH11">
        <v>0</v>
      </c>
      <c r="BJ11" t="str">
        <v>富士機械</v>
      </c>
      <c r="BK11" t="str">
        <v>やよいひめ</v>
      </c>
      <c r="BL11">
        <v>130</v>
      </c>
      <c r="BM11">
        <v>1550</v>
      </c>
      <c r="BN11">
        <v>1</v>
      </c>
      <c r="BP11" t="str">
        <v>慈誠会</v>
      </c>
      <c r="BQ11" t="str">
        <v>紅ほっぺ</v>
      </c>
      <c r="BR11">
        <v>0</v>
      </c>
      <c r="BS11">
        <v>80</v>
      </c>
      <c r="BT11">
        <v>0</v>
      </c>
      <c r="BV11" t="str">
        <v>富士機材</v>
      </c>
      <c r="BW11" t="str">
        <v>やよいひめ</v>
      </c>
      <c r="BX11">
        <v>460</v>
      </c>
      <c r="BY11">
        <v>1800</v>
      </c>
      <c r="BZ11">
        <v>2</v>
      </c>
      <c r="CB11" t="str">
        <v>昭和</v>
      </c>
      <c r="CC11" t="str">
        <v>紅ほっぺ</v>
      </c>
      <c r="CD11">
        <v>340</v>
      </c>
      <c r="CE11">
        <v>320</v>
      </c>
      <c r="CF11">
        <v>3</v>
      </c>
      <c r="CH11" t="str">
        <v>日建（遅）</v>
      </c>
      <c r="CI11" t="str">
        <v>紅ほっぺ</v>
      </c>
      <c r="CJ11">
        <v>0</v>
      </c>
      <c r="CK11">
        <v>119</v>
      </c>
      <c r="CL11">
        <v>22</v>
      </c>
    </row>
    <row r="12" spans="2:90">
      <c r="B12" s="5" t="str">
        <v>マルテー</v>
      </c>
      <c r="C12" t="str">
        <v>かおり野</v>
      </c>
      <c r="D12">
        <v>240</v>
      </c>
      <c r="E12">
        <v>0</v>
      </c>
      <c r="F12">
        <v>0</v>
      </c>
      <c r="H12" t="str">
        <v>三和</v>
      </c>
      <c r="I12" t="str">
        <v>紅ほっぺ</v>
      </c>
      <c r="J12">
        <v>0</v>
      </c>
      <c r="K12">
        <v>0</v>
      </c>
      <c r="L12">
        <v>0</v>
      </c>
      <c r="N12" t="str">
        <v>QB</v>
      </c>
      <c r="O12" t="str">
        <v>紅ほっぺ（無）</v>
      </c>
      <c r="P12">
        <v>495</v>
      </c>
      <c r="Q12">
        <v>125</v>
      </c>
      <c r="R12">
        <v>3</v>
      </c>
      <c r="T12" t="str">
        <v>東レ</v>
      </c>
      <c r="U12" t="str">
        <v>紅ほっぺ（無）</v>
      </c>
      <c r="V12">
        <v>1240</v>
      </c>
      <c r="W12">
        <v>420</v>
      </c>
      <c r="X12">
        <v>8</v>
      </c>
      <c r="Z12" t="str">
        <v>Adobe</v>
      </c>
      <c r="AA12" t="str">
        <v>かおり野</v>
      </c>
      <c r="AB12">
        <v>1880</v>
      </c>
      <c r="AC12">
        <v>665</v>
      </c>
      <c r="AD12">
        <v>9</v>
      </c>
      <c r="AF12" t="str">
        <v>バリュ</v>
      </c>
      <c r="AG12" t="str">
        <v>紅ほっぺ</v>
      </c>
      <c r="AH12">
        <v>0</v>
      </c>
      <c r="AI12">
        <v>0</v>
      </c>
      <c r="AJ12">
        <v>0</v>
      </c>
      <c r="AL12" t="str">
        <v>ソリトン</v>
      </c>
      <c r="AM12" t="str">
        <v>紅ほっぺ</v>
      </c>
      <c r="AN12">
        <v>480</v>
      </c>
      <c r="AO12">
        <v>620</v>
      </c>
      <c r="AP12">
        <v>4</v>
      </c>
      <c r="AR12" t="str">
        <v>NaITO</v>
      </c>
      <c r="AS12" t="str">
        <v>無</v>
      </c>
      <c r="AT12">
        <v>0</v>
      </c>
      <c r="AU12">
        <v>634</v>
      </c>
      <c r="AV12">
        <v>0</v>
      </c>
      <c r="AX12" t="str">
        <v>岡部</v>
      </c>
      <c r="AY12" t="str">
        <v>紅ほっぺ</v>
      </c>
      <c r="AZ12">
        <v>0</v>
      </c>
      <c r="BA12">
        <v>30</v>
      </c>
      <c r="BB12">
        <v>0</v>
      </c>
      <c r="BD12" t="str">
        <v>ケイアイ</v>
      </c>
      <c r="BE12" t="str">
        <v>紅ほっぺ</v>
      </c>
      <c r="BF12">
        <v>340</v>
      </c>
      <c r="BG12">
        <v>320</v>
      </c>
      <c r="BH12">
        <v>3</v>
      </c>
      <c r="BJ12" t="str">
        <v>富士機械</v>
      </c>
      <c r="BK12" t="str">
        <v>やよいひめ</v>
      </c>
      <c r="BL12">
        <v>0</v>
      </c>
      <c r="BM12">
        <v>600</v>
      </c>
      <c r="BN12">
        <v>0</v>
      </c>
      <c r="BP12" t="str">
        <v>慈誠会</v>
      </c>
      <c r="BQ12" t="str">
        <v>紅ほっぺ</v>
      </c>
      <c r="BR12">
        <v>100</v>
      </c>
      <c r="BS12">
        <v>40</v>
      </c>
      <c r="BT12">
        <v>1</v>
      </c>
      <c r="BV12" t="str">
        <v>富士機材</v>
      </c>
      <c r="BW12" t="str">
        <v>やよいひめ</v>
      </c>
      <c r="BX12">
        <v>860</v>
      </c>
      <c r="BY12">
        <v>1740</v>
      </c>
      <c r="BZ12">
        <v>7</v>
      </c>
      <c r="CB12" t="str">
        <v>昭和</v>
      </c>
      <c r="CC12" t="str">
        <v>紅ほっぺ</v>
      </c>
      <c r="CD12">
        <v>300</v>
      </c>
      <c r="CE12">
        <v>180</v>
      </c>
      <c r="CF12">
        <v>2</v>
      </c>
      <c r="CH12" t="str">
        <v>日建</v>
      </c>
      <c r="CI12" t="str">
        <v>紅ほっぺ（無）</v>
      </c>
      <c r="CJ12">
        <v>280</v>
      </c>
      <c r="CK12">
        <v>160</v>
      </c>
      <c r="CL12">
        <v>1</v>
      </c>
    </row>
    <row r="13" spans="2:90">
      <c r="B13" s="5" t="str">
        <v>マルテー</v>
      </c>
      <c r="C13" t="str">
        <v>よつぼし</v>
      </c>
      <c r="D13">
        <v>240</v>
      </c>
      <c r="E13">
        <v>0</v>
      </c>
      <c r="F13">
        <v>0</v>
      </c>
      <c r="H13" t="str">
        <v>三和</v>
      </c>
      <c r="I13" t="str">
        <v>紅ほっぺ</v>
      </c>
      <c r="J13">
        <v>0</v>
      </c>
      <c r="K13">
        <v>660</v>
      </c>
      <c r="L13">
        <v>0</v>
      </c>
      <c r="N13" t="str">
        <v>QB</v>
      </c>
      <c r="O13" t="str">
        <v>紅ほっぺ（無）</v>
      </c>
      <c r="P13">
        <v>140</v>
      </c>
      <c r="Q13">
        <v>200</v>
      </c>
      <c r="R13">
        <v>1</v>
      </c>
      <c r="T13" t="str">
        <v>東レ</v>
      </c>
      <c r="U13" t="str">
        <v>よつぼし</v>
      </c>
      <c r="V13">
        <v>2036</v>
      </c>
      <c r="W13">
        <v>435</v>
      </c>
      <c r="X13">
        <v>15</v>
      </c>
      <c r="Z13" t="str">
        <v>Adobe</v>
      </c>
      <c r="AA13" t="str">
        <v>かおり野</v>
      </c>
      <c r="AB13">
        <v>400</v>
      </c>
      <c r="AC13">
        <v>920</v>
      </c>
      <c r="AD13">
        <v>4</v>
      </c>
      <c r="AF13" t="str">
        <v>バリュ</v>
      </c>
      <c r="AG13" t="str">
        <v>紅ほっぺ</v>
      </c>
      <c r="AH13">
        <v>466</v>
      </c>
      <c r="AI13">
        <v>1474</v>
      </c>
      <c r="AJ13">
        <v>3</v>
      </c>
      <c r="AL13" t="str">
        <v>ソリトン</v>
      </c>
      <c r="AM13" t="str">
        <v>紅ほっぺ</v>
      </c>
      <c r="AN13">
        <v>180</v>
      </c>
      <c r="AO13">
        <v>80</v>
      </c>
      <c r="AP13">
        <v>1</v>
      </c>
      <c r="AR13" t="str">
        <v>NaITO</v>
      </c>
      <c r="AS13" t="str">
        <v>無</v>
      </c>
      <c r="AT13">
        <v>0</v>
      </c>
      <c r="AU13">
        <v>120</v>
      </c>
      <c r="AV13">
        <v>0</v>
      </c>
      <c r="AX13" t="str">
        <v>岡部</v>
      </c>
      <c r="AY13" t="str">
        <v>紅ほっぺ</v>
      </c>
      <c r="AZ13">
        <v>400</v>
      </c>
      <c r="BA13">
        <v>500</v>
      </c>
      <c r="BB13">
        <v>4</v>
      </c>
      <c r="BD13" t="str">
        <v>ケイアイ</v>
      </c>
      <c r="BE13" t="str">
        <v>紅ほっぺ</v>
      </c>
      <c r="BF13">
        <v>320</v>
      </c>
      <c r="BG13">
        <v>540</v>
      </c>
      <c r="BH13">
        <v>15</v>
      </c>
      <c r="BJ13" t="str">
        <v>富士機械</v>
      </c>
      <c r="BK13" t="str">
        <v>やよいひめ</v>
      </c>
      <c r="BL13">
        <v>240</v>
      </c>
      <c r="BM13">
        <v>1360</v>
      </c>
      <c r="BN13">
        <v>2</v>
      </c>
      <c r="BP13" t="str">
        <v>慈誠会</v>
      </c>
      <c r="BQ13" t="str">
        <v>紅ほっぺ</v>
      </c>
      <c r="BR13">
        <v>180</v>
      </c>
      <c r="BS13">
        <v>100</v>
      </c>
      <c r="BT13">
        <v>2</v>
      </c>
      <c r="BV13" t="str">
        <v>富士機材</v>
      </c>
      <c r="BW13" t="str">
        <v>やよいひめ</v>
      </c>
      <c r="BX13">
        <v>590</v>
      </c>
      <c r="BY13">
        <v>570</v>
      </c>
      <c r="BZ13">
        <v>4</v>
      </c>
      <c r="CB13" t="str">
        <v>昭和</v>
      </c>
      <c r="CC13" t="str">
        <v>紅ほっぺ</v>
      </c>
      <c r="CD13">
        <v>540</v>
      </c>
      <c r="CE13">
        <v>480</v>
      </c>
      <c r="CF13">
        <v>3</v>
      </c>
      <c r="CH13" t="str">
        <v>日建（遅）</v>
      </c>
      <c r="CI13" t="str">
        <v>紅ほっぺ</v>
      </c>
      <c r="CJ13">
        <v>0</v>
      </c>
      <c r="CK13">
        <v>0</v>
      </c>
      <c r="CL13">
        <v>0</v>
      </c>
    </row>
    <row r="14" spans="2:90">
      <c r="B14" s="5" t="str">
        <v>マルテー</v>
      </c>
      <c r="C14" t="str">
        <v>紅ほっぺ（断）</v>
      </c>
      <c r="D14">
        <v>260</v>
      </c>
      <c r="E14">
        <v>0</v>
      </c>
      <c r="F14">
        <v>0</v>
      </c>
      <c r="H14" t="str">
        <v>三和</v>
      </c>
      <c r="I14" t="str">
        <v>紅ほっぺ</v>
      </c>
      <c r="J14">
        <v>450</v>
      </c>
      <c r="K14">
        <v>350</v>
      </c>
      <c r="L14">
        <v>4</v>
      </c>
      <c r="N14" t="str">
        <v>QB</v>
      </c>
      <c r="O14" t="str">
        <v>紅ほっぺ（無）</v>
      </c>
      <c r="P14">
        <v>167</v>
      </c>
      <c r="Q14">
        <v>366</v>
      </c>
      <c r="R14">
        <v>1</v>
      </c>
      <c r="T14" t="str">
        <v>東レ</v>
      </c>
      <c r="U14" t="str">
        <v>紅ほっぺ（無）</v>
      </c>
      <c r="V14">
        <v>1800</v>
      </c>
      <c r="W14">
        <v>0</v>
      </c>
      <c r="X14">
        <v>8</v>
      </c>
      <c r="Z14" t="str">
        <v>Adobe</v>
      </c>
      <c r="AA14" t="str">
        <v>かおり野</v>
      </c>
      <c r="AB14">
        <v>580</v>
      </c>
      <c r="AC14">
        <v>180</v>
      </c>
      <c r="AD14">
        <v>5</v>
      </c>
      <c r="AF14" t="str">
        <v>バリュ</v>
      </c>
      <c r="AG14" t="str">
        <v>無</v>
      </c>
      <c r="AH14">
        <v>400</v>
      </c>
      <c r="AI14">
        <v>1240</v>
      </c>
      <c r="AJ14">
        <v>3</v>
      </c>
      <c r="AL14" t="str">
        <v>ソリトン</v>
      </c>
      <c r="AM14" t="str">
        <v>紅ほっぺ</v>
      </c>
      <c r="AN14">
        <v>0</v>
      </c>
      <c r="AO14">
        <v>260</v>
      </c>
      <c r="AP14">
        <v>0</v>
      </c>
      <c r="AR14" t="str">
        <v>NaITO</v>
      </c>
      <c r="AS14" t="str">
        <v>無</v>
      </c>
      <c r="AT14">
        <v>20</v>
      </c>
      <c r="AU14">
        <v>170</v>
      </c>
      <c r="AV14">
        <v>0</v>
      </c>
      <c r="AX14" t="str">
        <v>岡部</v>
      </c>
      <c r="AY14" t="str">
        <v>紅ほっぺ</v>
      </c>
      <c r="AZ14">
        <v>160</v>
      </c>
      <c r="BA14">
        <v>260</v>
      </c>
      <c r="BB14">
        <v>1</v>
      </c>
      <c r="BD14" t="str">
        <v>ケイアイ</v>
      </c>
      <c r="BE14" t="str">
        <v>紅ほっぺ</v>
      </c>
      <c r="BF14">
        <v>1210</v>
      </c>
      <c r="BG14">
        <v>340</v>
      </c>
      <c r="BH14">
        <v>12</v>
      </c>
      <c r="BJ14" t="str">
        <v>富士機械</v>
      </c>
      <c r="BK14" t="str">
        <v>やよいひめ</v>
      </c>
      <c r="BL14">
        <v>1010</v>
      </c>
      <c r="BM14">
        <v>2020</v>
      </c>
      <c r="BN14">
        <v>9</v>
      </c>
      <c r="BP14" t="str">
        <v>慈誠会</v>
      </c>
      <c r="BQ14" t="str">
        <v>紅ほっぺ</v>
      </c>
      <c r="BR14">
        <v>240</v>
      </c>
      <c r="BS14">
        <v>280</v>
      </c>
      <c r="BT14">
        <v>2</v>
      </c>
      <c r="BV14" t="str">
        <v>富士機材</v>
      </c>
      <c r="BW14" t="str">
        <v>やよいひめ</v>
      </c>
      <c r="BX14">
        <v>500</v>
      </c>
      <c r="BY14">
        <v>220</v>
      </c>
      <c r="BZ14">
        <v>5</v>
      </c>
      <c r="CB14" t="str">
        <v>昭和</v>
      </c>
      <c r="CC14" t="str">
        <v>紅ほっぺ</v>
      </c>
      <c r="CD14">
        <v>76</v>
      </c>
      <c r="CE14">
        <v>104</v>
      </c>
      <c r="CF14">
        <v>0</v>
      </c>
      <c r="CH14" t="str">
        <v>日建</v>
      </c>
      <c r="CI14" t="str">
        <v>紅ほっぺ（無）</v>
      </c>
      <c r="CJ14">
        <v>0</v>
      </c>
      <c r="CK14">
        <v>0</v>
      </c>
      <c r="CL14">
        <v>0</v>
      </c>
    </row>
    <row r="15" spans="2:90">
      <c r="B15" s="5" t="str">
        <v>マルテー</v>
      </c>
      <c r="C15" t="str">
        <v>紅ほっぺ（断）</v>
      </c>
      <c r="D15">
        <v>120</v>
      </c>
      <c r="E15">
        <v>0</v>
      </c>
      <c r="F15">
        <v>0</v>
      </c>
      <c r="H15" t="str">
        <v>三和</v>
      </c>
      <c r="I15" t="str">
        <v>紅ほっぺ</v>
      </c>
      <c r="J15">
        <v>0</v>
      </c>
      <c r="K15">
        <v>520</v>
      </c>
      <c r="L15">
        <v>0</v>
      </c>
      <c r="N15" t="str">
        <v>QB</v>
      </c>
      <c r="O15" t="str">
        <v>紅ほっぺ（無）</v>
      </c>
      <c r="P15">
        <v>0</v>
      </c>
      <c r="Q15">
        <v>550</v>
      </c>
      <c r="R15">
        <v>0</v>
      </c>
      <c r="T15" t="str">
        <v>東レ</v>
      </c>
      <c r="U15" t="str">
        <v>よつぼし</v>
      </c>
      <c r="V15">
        <v>1990</v>
      </c>
      <c r="W15">
        <v>1250</v>
      </c>
      <c r="X15">
        <v>17</v>
      </c>
      <c r="Z15" t="str">
        <v>Adobe</v>
      </c>
      <c r="AA15" t="str">
        <v>かおり野</v>
      </c>
      <c r="AB15">
        <v>1500</v>
      </c>
      <c r="AC15">
        <v>573</v>
      </c>
      <c r="AD15">
        <v>5</v>
      </c>
      <c r="AF15" t="str">
        <v>バリュ</v>
      </c>
      <c r="AG15" t="str">
        <v>無</v>
      </c>
      <c r="AH15">
        <v>270</v>
      </c>
      <c r="AI15">
        <v>510</v>
      </c>
      <c r="AJ15">
        <v>2</v>
      </c>
      <c r="AL15" t="str">
        <v>ソリトン</v>
      </c>
      <c r="AM15" t="str">
        <v>紅ほっぺ</v>
      </c>
      <c r="AN15">
        <v>110</v>
      </c>
      <c r="AO15">
        <v>170</v>
      </c>
      <c r="AP15">
        <v>1</v>
      </c>
      <c r="AR15" t="str">
        <v>NaITO</v>
      </c>
      <c r="AS15" t="str">
        <v>無</v>
      </c>
      <c r="AT15">
        <v>130</v>
      </c>
      <c r="AU15">
        <v>170</v>
      </c>
      <c r="AV15">
        <v>1</v>
      </c>
      <c r="AX15" t="str">
        <v>岡部</v>
      </c>
      <c r="AY15" t="str">
        <v>紅ほっぺ</v>
      </c>
      <c r="AZ15">
        <v>120</v>
      </c>
      <c r="BA15">
        <v>0</v>
      </c>
      <c r="BB15">
        <v>1</v>
      </c>
      <c r="BD15" t="str">
        <v>ケイアイ</v>
      </c>
      <c r="BE15" t="str">
        <v>紅ほっぺ</v>
      </c>
      <c r="BF15">
        <v>610</v>
      </c>
      <c r="BG15">
        <v>90</v>
      </c>
      <c r="BH15">
        <v>6</v>
      </c>
      <c r="BJ15" t="str">
        <v>富士機械</v>
      </c>
      <c r="BK15" t="str">
        <v>やよいひめ</v>
      </c>
      <c r="BL15">
        <v>2270</v>
      </c>
      <c r="BM15">
        <v>1650</v>
      </c>
      <c r="BN15">
        <v>21</v>
      </c>
      <c r="BP15" t="str">
        <v>慈誠会</v>
      </c>
      <c r="BQ15" t="str">
        <v>紅ほっぺ</v>
      </c>
      <c r="BR15">
        <v>140</v>
      </c>
      <c r="BS15">
        <v>140</v>
      </c>
      <c r="BT15">
        <v>1</v>
      </c>
      <c r="BV15" t="str">
        <v>富士機材</v>
      </c>
      <c r="BW15" t="str">
        <v>やよいひめ</v>
      </c>
      <c r="BX15">
        <v>2890</v>
      </c>
      <c r="BY15">
        <v>290</v>
      </c>
      <c r="BZ15">
        <v>22</v>
      </c>
      <c r="CB15" t="str">
        <v>昭和</v>
      </c>
      <c r="CC15" t="str">
        <v>紅ほっぺ</v>
      </c>
      <c r="CD15">
        <v>0</v>
      </c>
      <c r="CE15">
        <v>240</v>
      </c>
      <c r="CF15">
        <v>0</v>
      </c>
      <c r="CH15" t="str">
        <v>日建（遅）</v>
      </c>
      <c r="CI15" t="str">
        <v>紅ほっぺ</v>
      </c>
      <c r="CJ15">
        <v>0</v>
      </c>
      <c r="CK15">
        <v>0</v>
      </c>
      <c r="CL15">
        <v>0</v>
      </c>
    </row>
    <row r="16" spans="2:90">
      <c r="B16" s="5" t="str">
        <v>マルテー</v>
      </c>
      <c r="C16" t="str">
        <v>よつぼし</v>
      </c>
      <c r="D16">
        <v>220</v>
      </c>
      <c r="E16">
        <v>0</v>
      </c>
      <c r="F16">
        <v>0</v>
      </c>
      <c r="H16" t="str">
        <v>三和</v>
      </c>
      <c r="I16" t="str">
        <v>紅ほっぺ</v>
      </c>
      <c r="J16">
        <v>140</v>
      </c>
      <c r="K16">
        <v>520</v>
      </c>
      <c r="L16">
        <v>1</v>
      </c>
      <c r="N16" t="str">
        <v>QB</v>
      </c>
      <c r="O16" t="str">
        <v>無</v>
      </c>
      <c r="P16">
        <v>0</v>
      </c>
      <c r="Q16">
        <v>180</v>
      </c>
      <c r="R16">
        <v>0</v>
      </c>
      <c r="T16" t="str">
        <v>東レ</v>
      </c>
      <c r="U16" t="str">
        <v>紅ほっぺ（無）</v>
      </c>
      <c r="V16">
        <v>2300</v>
      </c>
      <c r="W16">
        <v>2707</v>
      </c>
      <c r="X16">
        <v>23</v>
      </c>
      <c r="Z16" t="str">
        <v>Adobe</v>
      </c>
      <c r="AA16" t="str">
        <v>かおり野</v>
      </c>
      <c r="AB16">
        <v>300</v>
      </c>
      <c r="AC16">
        <v>940</v>
      </c>
      <c r="AD16">
        <v>2</v>
      </c>
      <c r="AF16" t="str">
        <v>バリュ</v>
      </c>
      <c r="AG16" t="str">
        <v>やよいひめ</v>
      </c>
      <c r="AH16">
        <v>340</v>
      </c>
      <c r="AI16">
        <v>750</v>
      </c>
      <c r="AJ16">
        <v>3</v>
      </c>
      <c r="AL16" t="str">
        <v>ソリトン</v>
      </c>
      <c r="AM16" t="str">
        <v>紅ほっぺ</v>
      </c>
      <c r="AN16">
        <v>310</v>
      </c>
      <c r="AO16">
        <v>190</v>
      </c>
      <c r="AP16">
        <v>4</v>
      </c>
      <c r="AR16" t="str">
        <v>NaITO</v>
      </c>
      <c r="AS16" t="str">
        <v>無</v>
      </c>
      <c r="AT16">
        <v>450</v>
      </c>
      <c r="AU16">
        <v>260</v>
      </c>
      <c r="AV16">
        <v>4</v>
      </c>
      <c r="AX16" t="str">
        <v>岡部</v>
      </c>
      <c r="AY16" t="str">
        <v>紅ほっぺ</v>
      </c>
      <c r="AZ16">
        <v>0</v>
      </c>
      <c r="BA16">
        <v>120</v>
      </c>
      <c r="BB16">
        <v>0</v>
      </c>
      <c r="BD16" t="str">
        <v>ケイアイ</v>
      </c>
      <c r="BE16" t="str">
        <v>紅ほっぺ</v>
      </c>
      <c r="BF16">
        <v>790</v>
      </c>
      <c r="BG16">
        <v>250</v>
      </c>
      <c r="BH16">
        <v>8</v>
      </c>
      <c r="BJ16" t="str">
        <v>富士機械</v>
      </c>
      <c r="BK16" t="str">
        <v>やよいひめ</v>
      </c>
      <c r="BL16">
        <v>5510</v>
      </c>
      <c r="BM16">
        <v>1250</v>
      </c>
      <c r="BN16">
        <v>52</v>
      </c>
      <c r="BP16" t="str">
        <v>慈誠会</v>
      </c>
      <c r="BQ16" t="str">
        <v>紅ほっぺ</v>
      </c>
      <c r="BR16">
        <v>300</v>
      </c>
      <c r="BS16">
        <v>80</v>
      </c>
      <c r="BT16">
        <v>3</v>
      </c>
      <c r="BV16" t="str">
        <v>富士機材</v>
      </c>
      <c r="BW16" t="str">
        <v>やよいひめ</v>
      </c>
      <c r="BX16">
        <v>2510</v>
      </c>
      <c r="BY16">
        <v>10</v>
      </c>
      <c r="BZ16">
        <v>18</v>
      </c>
      <c r="CB16" t="str">
        <v>昭和</v>
      </c>
      <c r="CC16" t="str">
        <v>紅ほっぺ</v>
      </c>
      <c r="CD16">
        <v>0</v>
      </c>
      <c r="CE16">
        <v>120</v>
      </c>
      <c r="CF16">
        <v>0</v>
      </c>
      <c r="CH16" t="str">
        <v>日建</v>
      </c>
      <c r="CI16" t="str">
        <v>紅ほっぺ（無）</v>
      </c>
      <c r="CJ16">
        <v>0</v>
      </c>
      <c r="CK16">
        <v>0</v>
      </c>
      <c r="CL16">
        <v>0</v>
      </c>
    </row>
    <row r="17" spans="2:90">
      <c r="B17" s="5" t="str">
        <v>マルテー</v>
      </c>
      <c r="C17" t="str">
        <v>かおり野</v>
      </c>
      <c r="D17">
        <v>480</v>
      </c>
      <c r="E17">
        <v>0</v>
      </c>
      <c r="F17">
        <v>0</v>
      </c>
      <c r="H17" t="str">
        <v>三和</v>
      </c>
      <c r="I17" t="str">
        <v>紅ほっぺ</v>
      </c>
      <c r="J17">
        <v>500</v>
      </c>
      <c r="K17">
        <v>0</v>
      </c>
      <c r="L17">
        <v>0</v>
      </c>
      <c r="N17" t="str">
        <v>QB</v>
      </c>
      <c r="O17" t="str">
        <v>無</v>
      </c>
      <c r="P17">
        <v>0</v>
      </c>
      <c r="Q17">
        <v>165</v>
      </c>
      <c r="R17">
        <v>0</v>
      </c>
      <c r="T17" t="str">
        <v>東レ</v>
      </c>
      <c r="U17" t="str">
        <v>よつぼし</v>
      </c>
      <c r="V17">
        <v>1990</v>
      </c>
      <c r="W17">
        <v>1350</v>
      </c>
      <c r="X17">
        <v>17</v>
      </c>
      <c r="Z17" t="str">
        <v>Adobe</v>
      </c>
      <c r="AA17" t="str">
        <v>かおり野</v>
      </c>
      <c r="AB17">
        <v>0</v>
      </c>
      <c r="AC17">
        <v>0</v>
      </c>
      <c r="AD17">
        <v>0</v>
      </c>
      <c r="AF17" t="str">
        <v>バリュ</v>
      </c>
      <c r="AG17" t="str">
        <v>無</v>
      </c>
      <c r="AH17">
        <v>230</v>
      </c>
      <c r="AI17">
        <v>620</v>
      </c>
      <c r="AJ17">
        <v>2</v>
      </c>
      <c r="AL17" t="str">
        <v>ソリトン</v>
      </c>
      <c r="AM17" t="str">
        <v>紅ほっぺ</v>
      </c>
      <c r="AN17">
        <v>780</v>
      </c>
      <c r="AO17">
        <v>360</v>
      </c>
      <c r="AP17">
        <v>5</v>
      </c>
      <c r="AR17" t="str">
        <v>NaITO</v>
      </c>
      <c r="AS17" t="str">
        <v>無</v>
      </c>
      <c r="AT17">
        <v>590</v>
      </c>
      <c r="AU17">
        <v>260</v>
      </c>
      <c r="AV17">
        <v>5</v>
      </c>
      <c r="AX17" t="str">
        <v>岡部</v>
      </c>
      <c r="AY17" t="str">
        <v>紅ほっぺ</v>
      </c>
      <c r="AZ17">
        <v>230</v>
      </c>
      <c r="BA17">
        <v>470</v>
      </c>
      <c r="BB17">
        <v>2</v>
      </c>
      <c r="BD17" t="str">
        <v>ケイアイ</v>
      </c>
      <c r="BE17" t="str">
        <v>紅ほっぺ</v>
      </c>
      <c r="BF17">
        <v>1230</v>
      </c>
      <c r="BG17">
        <v>230</v>
      </c>
      <c r="BH17">
        <v>12</v>
      </c>
      <c r="BJ17" t="str">
        <v>富士機械</v>
      </c>
      <c r="BK17" t="str">
        <v>やよいひめ</v>
      </c>
      <c r="BL17">
        <v>2530</v>
      </c>
      <c r="BM17">
        <v>810</v>
      </c>
      <c r="BN17">
        <v>23</v>
      </c>
      <c r="BP17" t="str">
        <v>慈誠会</v>
      </c>
      <c r="BQ17" t="str">
        <v>紅ほっぺ</v>
      </c>
      <c r="BR17">
        <v>420</v>
      </c>
      <c r="BS17">
        <v>80</v>
      </c>
      <c r="BT17">
        <v>4</v>
      </c>
      <c r="BV17" t="str">
        <v>富士機材</v>
      </c>
      <c r="BW17" t="str">
        <v>やよいひめ</v>
      </c>
      <c r="BX17">
        <v>1530</v>
      </c>
      <c r="BY17">
        <v>30</v>
      </c>
      <c r="BZ17">
        <v>15</v>
      </c>
      <c r="CB17" t="str">
        <v>昭和</v>
      </c>
      <c r="CC17" t="str">
        <v>紅ほっぺ</v>
      </c>
      <c r="CD17">
        <v>0</v>
      </c>
      <c r="CE17">
        <v>260</v>
      </c>
      <c r="CF17">
        <v>0</v>
      </c>
      <c r="CH17" t="str">
        <v>日建（遅）</v>
      </c>
      <c r="CI17" t="str">
        <v>紅ほっぺ</v>
      </c>
      <c r="CJ17">
        <v>0</v>
      </c>
      <c r="CK17">
        <v>0</v>
      </c>
      <c r="CL17">
        <v>0</v>
      </c>
    </row>
    <row r="18" spans="2:90">
      <c r="B18" s="5" t="str">
        <v>マルテー</v>
      </c>
      <c r="C18" t="str">
        <v>紅ほっぺ（断）</v>
      </c>
      <c r="D18">
        <v>120</v>
      </c>
      <c r="E18">
        <v>0</v>
      </c>
      <c r="F18">
        <v>0</v>
      </c>
      <c r="N18" t="str">
        <v>QB</v>
      </c>
      <c r="O18" t="str">
        <v>無</v>
      </c>
      <c r="P18">
        <v>200</v>
      </c>
      <c r="Q18">
        <v>0</v>
      </c>
      <c r="R18">
        <v>2</v>
      </c>
      <c r="T18" t="str">
        <v>東レ</v>
      </c>
      <c r="U18" t="str">
        <v>紅ほっぺ（無）</v>
      </c>
      <c r="V18">
        <v>1240</v>
      </c>
      <c r="W18">
        <v>1532</v>
      </c>
      <c r="X18">
        <v>9</v>
      </c>
      <c r="Z18" t="str">
        <v>Adobe</v>
      </c>
      <c r="AA18" t="str">
        <v>かおり野</v>
      </c>
      <c r="AB18">
        <v>140</v>
      </c>
      <c r="AC18">
        <v>600</v>
      </c>
      <c r="AD18">
        <v>1</v>
      </c>
      <c r="AF18" t="str">
        <v>バリュ</v>
      </c>
      <c r="AG18" t="str">
        <v>やよいひめ</v>
      </c>
      <c r="AH18">
        <v>330</v>
      </c>
      <c r="AI18">
        <v>290</v>
      </c>
      <c r="AJ18">
        <v>3</v>
      </c>
      <c r="AL18" t="str">
        <v>ソリトン</v>
      </c>
      <c r="AM18" t="str">
        <v>紅ほっぺ</v>
      </c>
      <c r="AN18">
        <v>420</v>
      </c>
      <c r="AO18">
        <v>200</v>
      </c>
      <c r="AP18">
        <v>4</v>
      </c>
      <c r="AR18" t="str">
        <v>NaITO</v>
      </c>
      <c r="AS18" t="str">
        <v>無</v>
      </c>
      <c r="AT18">
        <v>500</v>
      </c>
      <c r="AU18">
        <v>170</v>
      </c>
      <c r="AV18">
        <v>5</v>
      </c>
      <c r="AX18" t="str">
        <v>岡部</v>
      </c>
      <c r="AY18" t="str">
        <v>紅ほっぺ</v>
      </c>
      <c r="AZ18">
        <v>100</v>
      </c>
      <c r="BA18">
        <v>340</v>
      </c>
      <c r="BB18">
        <v>1</v>
      </c>
      <c r="BD18" t="str">
        <v>ケイアイ</v>
      </c>
      <c r="BE18" t="str">
        <v>紅ほっぺ</v>
      </c>
      <c r="BF18">
        <v>2100</v>
      </c>
      <c r="BG18">
        <v>480</v>
      </c>
      <c r="BH18">
        <v>19</v>
      </c>
      <c r="BJ18" t="str">
        <v>富士機械</v>
      </c>
      <c r="BK18" t="str">
        <v>やよいひめ</v>
      </c>
      <c r="BL18">
        <v>910</v>
      </c>
      <c r="BM18">
        <v>70</v>
      </c>
      <c r="BN18">
        <v>7</v>
      </c>
      <c r="BP18" t="str">
        <v>慈誠会</v>
      </c>
      <c r="BQ18" t="str">
        <v>紅ほっぺ</v>
      </c>
      <c r="BR18">
        <v>350</v>
      </c>
      <c r="BS18">
        <v>270</v>
      </c>
      <c r="BT18">
        <v>2</v>
      </c>
      <c r="BV18" t="str">
        <v>富士機材</v>
      </c>
      <c r="BW18" t="str">
        <v>やよいひめ</v>
      </c>
      <c r="BX18">
        <v>600</v>
      </c>
      <c r="BY18">
        <v>0</v>
      </c>
      <c r="BZ18">
        <v>4</v>
      </c>
      <c r="CB18" t="str">
        <v>昭和</v>
      </c>
      <c r="CC18" t="str">
        <v>紅ほっぺ</v>
      </c>
      <c r="CD18">
        <v>80</v>
      </c>
      <c r="CE18">
        <v>240</v>
      </c>
      <c r="CF18">
        <v>0</v>
      </c>
      <c r="CH18" t="str">
        <v>日建</v>
      </c>
      <c r="CI18" t="str">
        <v>無</v>
      </c>
      <c r="CJ18">
        <v>0</v>
      </c>
      <c r="CK18">
        <v>240</v>
      </c>
      <c r="CL18">
        <v>0</v>
      </c>
    </row>
    <row r="19" spans="2:90">
      <c r="B19" s="5" t="str">
        <v>マルテー</v>
      </c>
      <c r="C19" t="str">
        <v>かおり野</v>
      </c>
      <c r="D19">
        <v>300</v>
      </c>
      <c r="E19">
        <v>0</v>
      </c>
      <c r="F19">
        <v>0</v>
      </c>
      <c r="N19" t="str">
        <v>QB</v>
      </c>
      <c r="O19" t="str">
        <v>無</v>
      </c>
      <c r="P19">
        <v>100</v>
      </c>
      <c r="Q19">
        <v>60</v>
      </c>
      <c r="R19">
        <v>1</v>
      </c>
      <c r="T19" t="str">
        <v>東レ</v>
      </c>
      <c r="U19" t="str">
        <v>よつぼし</v>
      </c>
      <c r="V19">
        <v>2300</v>
      </c>
      <c r="W19">
        <v>325</v>
      </c>
      <c r="X19">
        <v>22</v>
      </c>
      <c r="Z19" t="str">
        <v>Adobe</v>
      </c>
      <c r="AA19" t="str">
        <v>かおり野</v>
      </c>
      <c r="AB19">
        <v>1660</v>
      </c>
      <c r="AC19">
        <v>830</v>
      </c>
      <c r="AD19">
        <v>13</v>
      </c>
      <c r="AF19" t="str">
        <v>バリュ</v>
      </c>
      <c r="AG19" t="str">
        <v>無</v>
      </c>
      <c r="AH19">
        <v>460</v>
      </c>
      <c r="AI19">
        <v>240</v>
      </c>
      <c r="AJ19">
        <v>2</v>
      </c>
      <c r="AL19" t="str">
        <v>ソリトン</v>
      </c>
      <c r="AM19" t="str">
        <v>紅ほっぺ</v>
      </c>
      <c r="AN19">
        <v>470</v>
      </c>
      <c r="AO19">
        <v>210</v>
      </c>
      <c r="AP19">
        <v>4</v>
      </c>
      <c r="AR19" t="str">
        <v>NaITO</v>
      </c>
      <c r="AS19" t="str">
        <v>無</v>
      </c>
      <c r="AT19">
        <v>210</v>
      </c>
      <c r="AU19">
        <v>30</v>
      </c>
      <c r="AV19">
        <v>2</v>
      </c>
      <c r="AX19" t="str">
        <v>岡部</v>
      </c>
      <c r="AY19" t="str">
        <v>紅ほっぺ</v>
      </c>
      <c r="AZ19">
        <v>500</v>
      </c>
      <c r="BA19">
        <v>0</v>
      </c>
      <c r="BB19">
        <v>15</v>
      </c>
      <c r="BD19" t="str">
        <v>ケイアイ</v>
      </c>
      <c r="BE19" t="str">
        <v>紅ほっぺ</v>
      </c>
      <c r="BF19">
        <v>1500</v>
      </c>
      <c r="BG19">
        <v>1120</v>
      </c>
      <c r="BH19">
        <v>14</v>
      </c>
      <c r="BJ19" t="str">
        <v>富士機械</v>
      </c>
      <c r="BK19" t="str">
        <v>やよいひめ</v>
      </c>
      <c r="BL19">
        <v>3100</v>
      </c>
      <c r="BM19">
        <v>510</v>
      </c>
      <c r="BN19">
        <v>31</v>
      </c>
      <c r="BP19" t="str">
        <v>慈誠会</v>
      </c>
      <c r="BQ19" t="str">
        <v>紅ほっぺ</v>
      </c>
      <c r="BR19">
        <v>260</v>
      </c>
      <c r="BS19">
        <v>600</v>
      </c>
      <c r="BT19">
        <v>2</v>
      </c>
      <c r="BV19" t="str">
        <v>富士機材</v>
      </c>
      <c r="BW19" t="str">
        <v>やよいひめ</v>
      </c>
      <c r="BX19">
        <v>1020</v>
      </c>
      <c r="BY19">
        <v>0</v>
      </c>
      <c r="BZ19">
        <v>7</v>
      </c>
      <c r="CB19" t="str">
        <v>昭和</v>
      </c>
      <c r="CC19" t="str">
        <v>紅ほっぺ</v>
      </c>
      <c r="CD19">
        <v>0</v>
      </c>
      <c r="CE19">
        <v>320</v>
      </c>
      <c r="CF19">
        <v>0</v>
      </c>
    </row>
    <row r="20" spans="2:90">
      <c r="B20" s="5" t="str">
        <v>マルテー</v>
      </c>
      <c r="C20" t="str">
        <v>よつぼし</v>
      </c>
      <c r="D20">
        <v>500</v>
      </c>
      <c r="E20">
        <v>0</v>
      </c>
      <c r="F20">
        <v>0</v>
      </c>
      <c r="N20" t="str">
        <v>QB</v>
      </c>
      <c r="O20" t="str">
        <v>無</v>
      </c>
      <c r="P20">
        <v>0</v>
      </c>
      <c r="Q20">
        <v>150</v>
      </c>
      <c r="R20">
        <v>0</v>
      </c>
      <c r="T20" t="str">
        <v>東レ</v>
      </c>
      <c r="U20" t="str">
        <v>紅ほっぺ（無）</v>
      </c>
      <c r="V20">
        <v>1020</v>
      </c>
      <c r="W20">
        <v>1280</v>
      </c>
      <c r="X20">
        <v>7</v>
      </c>
      <c r="Z20" t="str">
        <v>Adobe</v>
      </c>
      <c r="AA20" t="str">
        <v>かおり野</v>
      </c>
      <c r="AB20">
        <v>2800</v>
      </c>
      <c r="AC20">
        <v>1060</v>
      </c>
      <c r="AD20">
        <v>24</v>
      </c>
      <c r="AF20" t="str">
        <v>バリュ</v>
      </c>
      <c r="AG20" t="str">
        <v>やよいひめ</v>
      </c>
      <c r="AH20">
        <v>320</v>
      </c>
      <c r="AI20">
        <v>280</v>
      </c>
      <c r="AJ20">
        <v>2</v>
      </c>
      <c r="AL20" t="str">
        <v>ソリトン</v>
      </c>
      <c r="AM20" t="str">
        <v>紅ほっぺ</v>
      </c>
      <c r="AN20">
        <v>750</v>
      </c>
      <c r="AO20">
        <v>450</v>
      </c>
      <c r="AP20">
        <v>7</v>
      </c>
      <c r="AR20" t="str">
        <v>NaITO</v>
      </c>
      <c r="AS20" t="str">
        <v>無</v>
      </c>
      <c r="AT20">
        <v>470</v>
      </c>
      <c r="AU20">
        <v>880</v>
      </c>
      <c r="AV20">
        <v>3</v>
      </c>
      <c r="BD20" t="str">
        <v>ケイアイ</v>
      </c>
      <c r="BE20" t="str">
        <v>紅ほっぺ</v>
      </c>
      <c r="BF20">
        <v>1060</v>
      </c>
      <c r="BG20">
        <v>740</v>
      </c>
      <c r="BH20">
        <v>10</v>
      </c>
      <c r="BJ20" t="str">
        <v>富士機械</v>
      </c>
      <c r="BK20" t="str">
        <v>やよいひめ</v>
      </c>
      <c r="BL20">
        <v>1760</v>
      </c>
      <c r="BM20">
        <v>620</v>
      </c>
      <c r="BN20">
        <v>15</v>
      </c>
      <c r="BP20" t="str">
        <v>慈誠会</v>
      </c>
      <c r="BQ20" t="str">
        <v>紅ほっぺ</v>
      </c>
      <c r="BR20">
        <v>120</v>
      </c>
      <c r="BS20">
        <v>500</v>
      </c>
      <c r="BT20">
        <v>1</v>
      </c>
      <c r="BV20" t="str">
        <v>富士機材</v>
      </c>
      <c r="BW20" t="str">
        <v>やよいひめ</v>
      </c>
      <c r="BX20">
        <v>2960</v>
      </c>
      <c r="BY20">
        <v>360</v>
      </c>
      <c r="BZ20">
        <v>26</v>
      </c>
      <c r="CB20" t="str">
        <v>昭和</v>
      </c>
      <c r="CC20" t="str">
        <v>紅ほっぺ</v>
      </c>
      <c r="CD20">
        <v>90</v>
      </c>
      <c r="CE20">
        <v>170</v>
      </c>
      <c r="CF20">
        <v>0</v>
      </c>
    </row>
    <row r="21" spans="2:90">
      <c r="B21" s="5" t="str">
        <v>マルテー</v>
      </c>
      <c r="C21" t="str">
        <v>紅ほっぺ（断）</v>
      </c>
      <c r="D21">
        <v>1120</v>
      </c>
      <c r="E21">
        <v>0</v>
      </c>
      <c r="F21">
        <v>10</v>
      </c>
      <c r="N21" t="str">
        <v>QB</v>
      </c>
      <c r="O21" t="str">
        <v>無</v>
      </c>
      <c r="P21">
        <v>360</v>
      </c>
      <c r="Q21">
        <v>200</v>
      </c>
      <c r="R21">
        <v>2</v>
      </c>
      <c r="T21" t="str">
        <v>東レ</v>
      </c>
      <c r="U21" t="str">
        <v>よつぼし</v>
      </c>
      <c r="V21">
        <v>1326</v>
      </c>
      <c r="W21">
        <v>2050</v>
      </c>
      <c r="X21">
        <v>12</v>
      </c>
      <c r="Z21" t="str">
        <v>Adobe</v>
      </c>
      <c r="AA21" t="str">
        <v>かおり野</v>
      </c>
      <c r="AB21">
        <v>3640</v>
      </c>
      <c r="AC21">
        <v>1120</v>
      </c>
      <c r="AD21">
        <v>26</v>
      </c>
      <c r="AF21" t="str">
        <v>バリュ</v>
      </c>
      <c r="AG21" t="str">
        <v>紅ほっぺ</v>
      </c>
      <c r="AH21">
        <v>100</v>
      </c>
      <c r="AI21">
        <v>160</v>
      </c>
      <c r="AJ21">
        <v>1</v>
      </c>
      <c r="AL21" t="str">
        <v>ソリトン</v>
      </c>
      <c r="AM21" t="str">
        <v>紅ほっぺ</v>
      </c>
      <c r="AN21">
        <v>370</v>
      </c>
      <c r="AO21">
        <v>570</v>
      </c>
      <c r="AP21">
        <v>3</v>
      </c>
      <c r="AR21" t="str">
        <v>NaITO</v>
      </c>
      <c r="AS21" t="str">
        <v>無</v>
      </c>
      <c r="AT21">
        <v>900</v>
      </c>
      <c r="AU21">
        <v>870</v>
      </c>
      <c r="AV21">
        <v>7</v>
      </c>
      <c r="BD21" t="str">
        <v>ケイアイ</v>
      </c>
      <c r="BE21" t="str">
        <v>紅ほっぺ</v>
      </c>
      <c r="BF21">
        <v>830</v>
      </c>
      <c r="BG21">
        <v>470</v>
      </c>
      <c r="BH21">
        <v>4</v>
      </c>
      <c r="BJ21" t="str">
        <v>富士機械</v>
      </c>
      <c r="BK21" t="str">
        <v>やよいひめ</v>
      </c>
      <c r="BL21">
        <v>220</v>
      </c>
      <c r="BM21">
        <v>1120</v>
      </c>
      <c r="BN21">
        <v>2</v>
      </c>
      <c r="BP21" t="str">
        <v>慈誠会</v>
      </c>
      <c r="BQ21" t="str">
        <v>紅ほっぺ</v>
      </c>
      <c r="BR21">
        <v>1140</v>
      </c>
      <c r="BS21">
        <v>0</v>
      </c>
      <c r="BT21">
        <v>0</v>
      </c>
      <c r="BV21" t="str">
        <v>富士機材</v>
      </c>
      <c r="BW21" t="str">
        <v>やよいひめ</v>
      </c>
      <c r="BX21">
        <v>1010</v>
      </c>
      <c r="BY21">
        <v>450</v>
      </c>
      <c r="BZ21">
        <v>7</v>
      </c>
      <c r="CB21" t="str">
        <v>昭和</v>
      </c>
      <c r="CC21" t="str">
        <v>紅ほっぺ</v>
      </c>
      <c r="CD21">
        <v>120</v>
      </c>
      <c r="CE21">
        <v>160</v>
      </c>
      <c r="CF21">
        <v>1</v>
      </c>
    </row>
    <row r="22" spans="2:90">
      <c r="B22" s="5" t="str">
        <v>マルテー</v>
      </c>
      <c r="C22" t="str">
        <v>よつぼし</v>
      </c>
      <c r="D22">
        <v>880</v>
      </c>
      <c r="E22">
        <v>0</v>
      </c>
      <c r="F22">
        <v>6</v>
      </c>
      <c r="N22" t="str">
        <v>QB</v>
      </c>
      <c r="O22" t="str">
        <v>無</v>
      </c>
      <c r="P22">
        <v>150</v>
      </c>
      <c r="Q22">
        <v>0</v>
      </c>
      <c r="R22">
        <v>1</v>
      </c>
      <c r="T22" t="str">
        <v>東レ</v>
      </c>
      <c r="U22" t="str">
        <v>紅ほっぺ（無）</v>
      </c>
      <c r="V22">
        <v>280</v>
      </c>
      <c r="W22">
        <v>1610</v>
      </c>
      <c r="X22">
        <v>0</v>
      </c>
      <c r="Z22" t="str">
        <v>Adobe</v>
      </c>
      <c r="AA22" t="str">
        <v>かおりの</v>
      </c>
      <c r="AB22">
        <v>2330</v>
      </c>
      <c r="AC22">
        <v>1170</v>
      </c>
      <c r="AD22">
        <v>25</v>
      </c>
      <c r="AF22" t="str">
        <v>バリュ</v>
      </c>
      <c r="AG22" t="str">
        <v>無</v>
      </c>
      <c r="AH22">
        <v>590</v>
      </c>
      <c r="AI22">
        <v>430</v>
      </c>
      <c r="AJ22">
        <v>4</v>
      </c>
      <c r="AL22" t="str">
        <v>ソリトン</v>
      </c>
      <c r="AM22" t="str">
        <v>紅ほっぺ</v>
      </c>
      <c r="AN22">
        <v>240</v>
      </c>
      <c r="AO22">
        <v>760</v>
      </c>
      <c r="AP22">
        <v>2</v>
      </c>
      <c r="AR22" t="str">
        <v>NaITO</v>
      </c>
      <c r="AS22" t="str">
        <v>無</v>
      </c>
      <c r="AT22">
        <v>920</v>
      </c>
      <c r="AU22">
        <v>840</v>
      </c>
      <c r="AV22">
        <v>1</v>
      </c>
      <c r="BD22" t="str">
        <v>ケイアイ</v>
      </c>
      <c r="BE22" t="str">
        <v>紅ほっぺ</v>
      </c>
      <c r="BF22">
        <v>900</v>
      </c>
      <c r="BG22">
        <v>600</v>
      </c>
      <c r="BH22">
        <v>0</v>
      </c>
      <c r="BJ22" t="str">
        <v>富士機械</v>
      </c>
      <c r="BK22" t="str">
        <v>やよいひめ</v>
      </c>
      <c r="BL22">
        <v>110</v>
      </c>
      <c r="BM22">
        <v>330</v>
      </c>
      <c r="BN22">
        <v>1</v>
      </c>
      <c r="BP22" t="str">
        <v>慈誠会</v>
      </c>
      <c r="BQ22" t="str">
        <v>紅ほっぺ</v>
      </c>
      <c r="BR22">
        <v>320</v>
      </c>
      <c r="BS22">
        <v>0</v>
      </c>
      <c r="BT22">
        <v>4</v>
      </c>
      <c r="BV22" t="str">
        <v>富士機材</v>
      </c>
      <c r="BW22" t="str">
        <v>やよいひめ</v>
      </c>
      <c r="BX22">
        <v>1900</v>
      </c>
      <c r="BY22">
        <v>2800</v>
      </c>
      <c r="BZ22">
        <v>13</v>
      </c>
      <c r="CB22" t="str">
        <v>昭和</v>
      </c>
      <c r="CC22" t="str">
        <v>紅ほっぺ</v>
      </c>
      <c r="CD22">
        <v>450</v>
      </c>
      <c r="CE22">
        <v>290</v>
      </c>
      <c r="CF22">
        <v>4</v>
      </c>
    </row>
    <row r="23" spans="2:90">
      <c r="B23" s="5" t="str">
        <v>マルテー</v>
      </c>
      <c r="C23" t="str">
        <v>かおり野</v>
      </c>
      <c r="D23">
        <v>220</v>
      </c>
      <c r="E23">
        <v>0</v>
      </c>
      <c r="F23">
        <v>1</v>
      </c>
      <c r="N23" t="str">
        <v>QB</v>
      </c>
      <c r="O23" t="str">
        <v>無</v>
      </c>
      <c r="P23">
        <v>100</v>
      </c>
      <c r="Q23">
        <v>0</v>
      </c>
      <c r="R23">
        <v>0</v>
      </c>
      <c r="T23" t="str">
        <v>東レ</v>
      </c>
      <c r="U23" t="str">
        <v>よつぼし</v>
      </c>
      <c r="V23">
        <v>1160</v>
      </c>
      <c r="W23">
        <v>2420</v>
      </c>
      <c r="X23">
        <v>11</v>
      </c>
      <c r="Z23" t="str">
        <v>Adobe</v>
      </c>
      <c r="AA23" t="str">
        <v>かおりの</v>
      </c>
      <c r="AB23">
        <v>2180</v>
      </c>
      <c r="AC23">
        <v>1000</v>
      </c>
      <c r="AD23">
        <v>17</v>
      </c>
      <c r="AF23" t="str">
        <v>バリュ</v>
      </c>
      <c r="AG23" t="str">
        <v>やよいひめ</v>
      </c>
      <c r="AH23">
        <v>190</v>
      </c>
      <c r="AI23">
        <v>150</v>
      </c>
      <c r="AJ23">
        <v>1</v>
      </c>
      <c r="AL23" t="str">
        <v>ソリトン</v>
      </c>
      <c r="AM23" t="str">
        <v>紅ほっぺ</v>
      </c>
      <c r="AN23">
        <v>210</v>
      </c>
      <c r="AO23">
        <v>310</v>
      </c>
      <c r="AP23">
        <v>2</v>
      </c>
      <c r="AR23" t="str">
        <v>NaITO</v>
      </c>
      <c r="AS23" t="str">
        <v>無</v>
      </c>
      <c r="AT23">
        <v>200</v>
      </c>
      <c r="AU23">
        <v>420</v>
      </c>
      <c r="AV23">
        <v>2</v>
      </c>
      <c r="BD23" t="str">
        <v>ケイアイ</v>
      </c>
      <c r="BE23" t="str">
        <v>紅ほっぺ</v>
      </c>
      <c r="BF23">
        <v>1400</v>
      </c>
      <c r="BG23">
        <v>0</v>
      </c>
      <c r="BH23">
        <v>0</v>
      </c>
      <c r="BV23" t="str">
        <v>富士機材</v>
      </c>
      <c r="BW23" t="str">
        <v>やよいひめ</v>
      </c>
      <c r="BX23">
        <v>3800</v>
      </c>
      <c r="BY23">
        <v>0</v>
      </c>
      <c r="BZ23">
        <v>8</v>
      </c>
      <c r="CB23" t="str">
        <v>昭和</v>
      </c>
      <c r="CC23" t="str">
        <v>紅ほっぺ</v>
      </c>
      <c r="CD23">
        <v>170</v>
      </c>
      <c r="CE23">
        <v>330</v>
      </c>
      <c r="CF23">
        <v>2</v>
      </c>
    </row>
    <row r="24" spans="2:90">
      <c r="B24" s="5" t="str">
        <v>マルテー</v>
      </c>
      <c r="C24" t="str">
        <v>紅ほっぺ（断）</v>
      </c>
      <c r="D24">
        <v>2300</v>
      </c>
      <c r="E24">
        <v>0</v>
      </c>
      <c r="F24">
        <v>21</v>
      </c>
      <c r="T24" t="str">
        <v>東レ</v>
      </c>
      <c r="U24" t="str">
        <v>紅ほっぺ（無）</v>
      </c>
      <c r="V24">
        <v>1600</v>
      </c>
      <c r="W24">
        <v>1100</v>
      </c>
      <c r="X24">
        <v>5</v>
      </c>
      <c r="Z24" t="str">
        <v>Adobe</v>
      </c>
      <c r="AA24" t="str">
        <v>かおりの</v>
      </c>
      <c r="AB24">
        <v>2700</v>
      </c>
      <c r="AC24">
        <v>2260</v>
      </c>
      <c r="AD24">
        <v>22</v>
      </c>
      <c r="AF24" t="str">
        <v>バリュ</v>
      </c>
      <c r="AG24" t="str">
        <v>無</v>
      </c>
      <c r="AH24">
        <v>1150</v>
      </c>
      <c r="AI24">
        <v>520</v>
      </c>
      <c r="AJ24">
        <v>10</v>
      </c>
      <c r="AL24" t="str">
        <v>ソリトン</v>
      </c>
      <c r="AM24" t="str">
        <v>紅ほっぺ</v>
      </c>
      <c r="AN24">
        <v>1120</v>
      </c>
      <c r="AO24">
        <v>0</v>
      </c>
      <c r="AP24">
        <v>0</v>
      </c>
      <c r="AR24" t="str">
        <v>NaITO</v>
      </c>
      <c r="AS24" t="str">
        <v>無</v>
      </c>
      <c r="AT24">
        <v>170</v>
      </c>
      <c r="AU24">
        <v>150</v>
      </c>
      <c r="AV24">
        <v>0</v>
      </c>
      <c r="BD24" t="str">
        <v>ケイアイ</v>
      </c>
      <c r="BE24" t="str">
        <v>紅ほっぺ</v>
      </c>
      <c r="BF24">
        <v>1200</v>
      </c>
      <c r="BG24">
        <v>0</v>
      </c>
      <c r="BH24">
        <v>0</v>
      </c>
      <c r="CB24" t="str">
        <v>昭和</v>
      </c>
      <c r="CC24" t="str">
        <v>紅ほっぺ</v>
      </c>
      <c r="CD24">
        <v>260</v>
      </c>
      <c r="CE24">
        <v>660</v>
      </c>
      <c r="CF24">
        <v>2</v>
      </c>
    </row>
    <row r="25" spans="2:90">
      <c r="B25" s="5" t="str">
        <v>マルテー</v>
      </c>
      <c r="C25" t="str">
        <v>よつぼし</v>
      </c>
      <c r="D25">
        <v>500</v>
      </c>
      <c r="E25">
        <v>0</v>
      </c>
      <c r="F25">
        <v>2</v>
      </c>
      <c r="T25" t="str">
        <v>東レ</v>
      </c>
      <c r="U25" t="str">
        <v>よつぼし</v>
      </c>
      <c r="V25">
        <v>551</v>
      </c>
      <c r="W25">
        <v>479</v>
      </c>
      <c r="X25">
        <v>5</v>
      </c>
      <c r="Z25" t="str">
        <v>Adobe</v>
      </c>
      <c r="AA25" t="str">
        <v>かおり野</v>
      </c>
      <c r="AB25">
        <v>1280</v>
      </c>
      <c r="AC25">
        <v>4980</v>
      </c>
      <c r="AD25">
        <v>11</v>
      </c>
      <c r="AF25" t="str">
        <v>バリュ</v>
      </c>
      <c r="AG25" t="str">
        <v>やよいひめ</v>
      </c>
      <c r="AH25">
        <v>510</v>
      </c>
      <c r="AI25">
        <v>390</v>
      </c>
      <c r="AJ25">
        <v>3</v>
      </c>
      <c r="AR25" t="str">
        <v>Naito</v>
      </c>
      <c r="AS25" t="str">
        <v>無</v>
      </c>
      <c r="AT25">
        <v>300</v>
      </c>
      <c r="AU25">
        <v>0</v>
      </c>
      <c r="AV25">
        <v>0</v>
      </c>
      <c r="CB25" t="str">
        <v>昭和</v>
      </c>
      <c r="CC25" t="str">
        <v>紅ほっぺ</v>
      </c>
      <c r="CD25">
        <v>40</v>
      </c>
      <c r="CE25">
        <v>350</v>
      </c>
      <c r="CF25">
        <v>0</v>
      </c>
    </row>
    <row r="26" spans="2:90">
      <c r="B26" s="5" t="str">
        <v>マルテー</v>
      </c>
      <c r="C26" t="str">
        <v>かおり野</v>
      </c>
      <c r="D26">
        <v>520</v>
      </c>
      <c r="E26">
        <v>0</v>
      </c>
      <c r="F26">
        <v>2</v>
      </c>
      <c r="T26" t="str">
        <v>東レ</v>
      </c>
      <c r="U26" t="str">
        <v>無</v>
      </c>
      <c r="V26">
        <v>0</v>
      </c>
      <c r="W26">
        <v>630</v>
      </c>
      <c r="X26">
        <v>0</v>
      </c>
      <c r="Z26" t="str">
        <v>Adobe</v>
      </c>
      <c r="AA26" t="str">
        <v>かおりの</v>
      </c>
      <c r="AB26">
        <v>180</v>
      </c>
      <c r="AC26">
        <v>830</v>
      </c>
      <c r="AD26">
        <v>1</v>
      </c>
      <c r="AF26" t="str">
        <v>バリュ</v>
      </c>
      <c r="AG26" t="str">
        <v>無</v>
      </c>
      <c r="AH26">
        <v>1730</v>
      </c>
      <c r="AI26">
        <v>700</v>
      </c>
      <c r="AJ26">
        <v>16</v>
      </c>
      <c r="CB26" t="str">
        <v>昭和</v>
      </c>
      <c r="CC26" t="str">
        <v>紅ほっぺ</v>
      </c>
      <c r="CD26">
        <v>300</v>
      </c>
      <c r="CE26">
        <v>0</v>
      </c>
      <c r="CF26">
        <v>0</v>
      </c>
    </row>
    <row r="27" spans="2:90">
      <c r="B27" s="5" t="str">
        <v>マルテー</v>
      </c>
      <c r="C27" t="str">
        <v>やよい姫</v>
      </c>
      <c r="D27">
        <v>300</v>
      </c>
      <c r="E27">
        <v>0</v>
      </c>
      <c r="F27">
        <v>1</v>
      </c>
      <c r="T27" t="str">
        <v>東レ</v>
      </c>
      <c r="U27" t="str">
        <v>よつぼし</v>
      </c>
      <c r="V27">
        <v>440</v>
      </c>
      <c r="W27">
        <v>1360</v>
      </c>
      <c r="X27">
        <v>4</v>
      </c>
      <c r="Z27" t="str">
        <v>Adobe</v>
      </c>
      <c r="AA27" t="str">
        <v>かおりの</v>
      </c>
      <c r="AB27">
        <v>200</v>
      </c>
      <c r="AC27">
        <v>480</v>
      </c>
      <c r="AD27">
        <v>2</v>
      </c>
      <c r="AF27" t="str">
        <v>バリュ</v>
      </c>
      <c r="AG27" t="str">
        <v>やよいひめ</v>
      </c>
      <c r="AH27">
        <v>780</v>
      </c>
      <c r="AI27">
        <v>1250</v>
      </c>
      <c r="AJ27">
        <v>4</v>
      </c>
    </row>
    <row r="28" spans="2:90">
      <c r="B28" s="5" t="str">
        <v>マルテー</v>
      </c>
      <c r="C28" t="str">
        <v>紅ほっぺ（無）</v>
      </c>
      <c r="D28">
        <v>1840</v>
      </c>
      <c r="E28">
        <v>0</v>
      </c>
      <c r="F28">
        <v>17</v>
      </c>
      <c r="T28" t="str">
        <v>東レ</v>
      </c>
      <c r="U28" t="str">
        <v>よつぼし</v>
      </c>
      <c r="V28">
        <v>100</v>
      </c>
      <c r="W28">
        <v>610</v>
      </c>
      <c r="X28">
        <v>1</v>
      </c>
      <c r="Z28" t="str">
        <v>Adobe</v>
      </c>
      <c r="AA28" t="str">
        <v>かおりの</v>
      </c>
      <c r="AB28">
        <v>740</v>
      </c>
      <c r="AC28">
        <v>0</v>
      </c>
      <c r="AD28">
        <v>1</v>
      </c>
      <c r="AF28" t="str">
        <v>バリュ</v>
      </c>
      <c r="AG28" t="str">
        <v>無</v>
      </c>
      <c r="AH28">
        <v>880</v>
      </c>
      <c r="AI28">
        <v>670</v>
      </c>
      <c r="AJ28">
        <v>8</v>
      </c>
    </row>
    <row r="29" spans="2:90">
      <c r="B29" s="5" t="str">
        <v>マルテー</v>
      </c>
      <c r="C29" t="str">
        <v>かおり野</v>
      </c>
      <c r="D29">
        <v>128</v>
      </c>
      <c r="E29">
        <v>282</v>
      </c>
      <c r="F29">
        <v>1</v>
      </c>
      <c r="T29" t="str">
        <v>東レ</v>
      </c>
      <c r="U29" t="str">
        <v>よつぼし</v>
      </c>
      <c r="V29">
        <v>100</v>
      </c>
      <c r="W29">
        <v>0</v>
      </c>
      <c r="X29">
        <v>1</v>
      </c>
      <c r="AF29" t="str">
        <v>バリュ</v>
      </c>
      <c r="AG29" t="str">
        <v>やよいひめ</v>
      </c>
      <c r="AH29">
        <v>460</v>
      </c>
      <c r="AI29">
        <v>0</v>
      </c>
      <c r="AJ29">
        <v>2</v>
      </c>
    </row>
    <row r="30" spans="2:90">
      <c r="B30" s="5" t="str">
        <v>マルテー</v>
      </c>
      <c r="C30" t="str">
        <v>よつぼし</v>
      </c>
      <c r="D30">
        <v>210</v>
      </c>
      <c r="E30">
        <v>330</v>
      </c>
      <c r="F30">
        <v>2</v>
      </c>
      <c r="T30" t="str">
        <v>東レ</v>
      </c>
      <c r="U30" t="str">
        <v>無</v>
      </c>
      <c r="V30">
        <v>240</v>
      </c>
      <c r="W30">
        <v>330</v>
      </c>
      <c r="X30">
        <v>2</v>
      </c>
      <c r="AF30" t="str">
        <v>バリュ</v>
      </c>
      <c r="AG30" t="str">
        <v>無</v>
      </c>
      <c r="AH30">
        <v>450</v>
      </c>
      <c r="AI30">
        <v>140</v>
      </c>
      <c r="AJ30">
        <v>4</v>
      </c>
    </row>
    <row r="31" spans="2:90">
      <c r="B31" s="5" t="str">
        <v>マルテー</v>
      </c>
      <c r="C31" t="str">
        <v>やよい姫</v>
      </c>
      <c r="D31">
        <v>220</v>
      </c>
      <c r="E31">
        <v>300</v>
      </c>
      <c r="F31">
        <v>2</v>
      </c>
      <c r="T31" t="str">
        <v>東レ</v>
      </c>
      <c r="U31" t="str">
        <v>よつぼし</v>
      </c>
      <c r="V31">
        <v>1840</v>
      </c>
      <c r="W31">
        <v>230</v>
      </c>
      <c r="X31">
        <v>17</v>
      </c>
      <c r="AF31" t="str">
        <v>バリュ</v>
      </c>
      <c r="AG31" t="str">
        <v>やよいひめ</v>
      </c>
      <c r="AH31">
        <v>200</v>
      </c>
      <c r="AI31">
        <v>120</v>
      </c>
      <c r="AJ31">
        <v>2</v>
      </c>
    </row>
    <row r="32" spans="2:90">
      <c r="B32" s="5" t="str">
        <v>マルテー</v>
      </c>
      <c r="C32" t="str">
        <v>紅ほっぺ（無）</v>
      </c>
      <c r="D32">
        <v>2840</v>
      </c>
      <c r="E32">
        <v>1020</v>
      </c>
      <c r="F32">
        <v>26</v>
      </c>
      <c r="T32" t="str">
        <v>東レ</v>
      </c>
      <c r="U32" t="str">
        <v>よつぼし</v>
      </c>
      <c r="V32">
        <v>2250</v>
      </c>
      <c r="W32">
        <v>240</v>
      </c>
      <c r="X32">
        <v>21</v>
      </c>
      <c r="AF32" t="str">
        <v>バリュ</v>
      </c>
      <c r="AG32" t="str">
        <v>無</v>
      </c>
      <c r="AH32">
        <v>4000</v>
      </c>
      <c r="AI32">
        <v>1560</v>
      </c>
      <c r="AJ32">
        <v>38</v>
      </c>
    </row>
    <row r="33" spans="2:36">
      <c r="B33" s="5" t="str">
        <v>マルテー</v>
      </c>
      <c r="C33" t="str">
        <v>紅ほっぺ（無）</v>
      </c>
      <c r="D33">
        <v>2740</v>
      </c>
      <c r="E33">
        <v>470</v>
      </c>
      <c r="F33">
        <v>22</v>
      </c>
      <c r="T33" t="str">
        <v>東レ</v>
      </c>
      <c r="U33" t="str">
        <v>無</v>
      </c>
      <c r="V33">
        <v>1600</v>
      </c>
      <c r="W33">
        <v>860</v>
      </c>
      <c r="X33">
        <v>15</v>
      </c>
      <c r="AF33" t="str">
        <v>バリュ</v>
      </c>
      <c r="AG33" t="str">
        <v>やよいひめ</v>
      </c>
      <c r="AH33">
        <v>4170</v>
      </c>
      <c r="AI33">
        <v>1400</v>
      </c>
      <c r="AJ33">
        <v>40</v>
      </c>
    </row>
    <row r="34" spans="2:36">
      <c r="B34" s="5" t="str">
        <v>マルテー</v>
      </c>
      <c r="C34" t="str">
        <v>紅ほっぺ（無）</v>
      </c>
      <c r="D34">
        <v>2160</v>
      </c>
      <c r="E34">
        <v>500</v>
      </c>
      <c r="F34">
        <v>15</v>
      </c>
      <c r="T34" t="str">
        <v>東レ</v>
      </c>
      <c r="U34" t="str">
        <v>よつぼし</v>
      </c>
      <c r="V34">
        <v>5420</v>
      </c>
      <c r="W34">
        <v>500</v>
      </c>
      <c r="X34">
        <v>39</v>
      </c>
      <c r="AF34" t="str">
        <v>バリュ</v>
      </c>
      <c r="AG34" t="str">
        <v>やよいひめ</v>
      </c>
      <c r="AH34">
        <v>680</v>
      </c>
      <c r="AI34">
        <v>0</v>
      </c>
      <c r="AJ34">
        <v>5</v>
      </c>
    </row>
    <row r="35" spans="2:36">
      <c r="B35" s="5" t="str">
        <v>マルテー</v>
      </c>
      <c r="C35" t="str">
        <v>かおり野</v>
      </c>
      <c r="D35">
        <v>300</v>
      </c>
      <c r="E35">
        <v>90</v>
      </c>
      <c r="F35">
        <v>2</v>
      </c>
      <c r="T35" t="str">
        <v>東レ</v>
      </c>
      <c r="U35" t="str">
        <v>無</v>
      </c>
      <c r="V35">
        <v>3060</v>
      </c>
      <c r="W35">
        <v>1580</v>
      </c>
      <c r="X35">
        <v>22</v>
      </c>
      <c r="AF35" t="str">
        <v>バリュ</v>
      </c>
      <c r="AG35" t="str">
        <v>無</v>
      </c>
      <c r="AH35">
        <v>840</v>
      </c>
      <c r="AI35">
        <v>300</v>
      </c>
      <c r="AJ35">
        <v>6</v>
      </c>
    </row>
    <row r="36" spans="2:36">
      <c r="B36" s="5" t="str">
        <v>マルテー</v>
      </c>
      <c r="C36" t="str">
        <v>よつぼし</v>
      </c>
      <c r="D36">
        <v>220</v>
      </c>
      <c r="E36">
        <v>120</v>
      </c>
      <c r="F36">
        <v>1</v>
      </c>
      <c r="T36" t="str">
        <v>東レ</v>
      </c>
      <c r="U36" t="str">
        <v>よつぼし</v>
      </c>
      <c r="V36">
        <v>4290</v>
      </c>
      <c r="W36">
        <v>3330</v>
      </c>
      <c r="X36">
        <v>40</v>
      </c>
      <c r="AF36" t="str">
        <v>バリュ</v>
      </c>
      <c r="AG36" t="str">
        <v>やよいひめ</v>
      </c>
      <c r="AH36">
        <v>370</v>
      </c>
      <c r="AI36">
        <v>130</v>
      </c>
      <c r="AJ36">
        <v>3</v>
      </c>
    </row>
    <row r="37" spans="2:36">
      <c r="B37" s="5" t="str">
        <v>マルテー</v>
      </c>
      <c r="C37" t="str">
        <v>やよいひめ</v>
      </c>
      <c r="D37">
        <v>180</v>
      </c>
      <c r="E37">
        <v>60</v>
      </c>
      <c r="F37">
        <v>1</v>
      </c>
      <c r="T37" t="str">
        <v>東レ</v>
      </c>
      <c r="U37" t="str">
        <v>無</v>
      </c>
      <c r="V37">
        <v>3000</v>
      </c>
      <c r="W37">
        <v>2000</v>
      </c>
      <c r="X37">
        <v>28</v>
      </c>
      <c r="AF37" t="str">
        <v>バリュ</v>
      </c>
      <c r="AG37" t="str">
        <v>無</v>
      </c>
      <c r="AH37">
        <v>410</v>
      </c>
      <c r="AI37">
        <v>880</v>
      </c>
      <c r="AJ37">
        <v>2</v>
      </c>
    </row>
    <row r="38" spans="2:36">
      <c r="B38" s="5" t="str">
        <v>マルテー</v>
      </c>
      <c r="C38" t="str">
        <v>紅ほっぺ（無）</v>
      </c>
      <c r="D38">
        <v>1468</v>
      </c>
      <c r="E38">
        <v>332</v>
      </c>
      <c r="F38">
        <v>12</v>
      </c>
      <c r="T38" t="str">
        <v>東レ</v>
      </c>
      <c r="U38" t="str">
        <v>よつぼし</v>
      </c>
      <c r="V38">
        <v>1110</v>
      </c>
      <c r="W38">
        <v>2930</v>
      </c>
      <c r="X38">
        <v>11</v>
      </c>
      <c r="AF38" t="str">
        <v>バリュ</v>
      </c>
      <c r="AG38" t="str">
        <v>やよいひめ</v>
      </c>
      <c r="AH38">
        <v>850</v>
      </c>
      <c r="AI38">
        <v>0</v>
      </c>
      <c r="AJ38">
        <v>6</v>
      </c>
    </row>
    <row r="39" spans="2:36">
      <c r="B39" s="5" t="str">
        <v>マルテー</v>
      </c>
      <c r="C39" t="str">
        <v>紅ほっぺ（無）</v>
      </c>
      <c r="D39">
        <v>3480</v>
      </c>
      <c r="E39">
        <v>460</v>
      </c>
      <c r="F39">
        <v>32</v>
      </c>
      <c r="T39" t="str">
        <v>東レ</v>
      </c>
      <c r="U39" t="str">
        <v>無</v>
      </c>
      <c r="V39">
        <v>2120</v>
      </c>
      <c r="W39">
        <v>6920</v>
      </c>
      <c r="X39">
        <v>19</v>
      </c>
      <c r="AF39" t="str">
        <v>バリュ</v>
      </c>
      <c r="AG39" t="str">
        <v>無</v>
      </c>
      <c r="AH39">
        <v>240</v>
      </c>
      <c r="AI39">
        <v>0</v>
      </c>
      <c r="AJ39">
        <v>2</v>
      </c>
    </row>
    <row r="40" spans="2:36">
      <c r="B40" s="5" t="str">
        <v>マルテー</v>
      </c>
      <c r="C40" t="str">
        <v>かおり野</v>
      </c>
      <c r="D40">
        <v>260</v>
      </c>
      <c r="E40">
        <v>40</v>
      </c>
      <c r="F40">
        <v>2</v>
      </c>
      <c r="T40" t="str">
        <v>東レ</v>
      </c>
      <c r="U40" t="str">
        <v>よつぼし</v>
      </c>
      <c r="V40">
        <v>0</v>
      </c>
      <c r="W40">
        <v>3400</v>
      </c>
      <c r="X40">
        <v>0</v>
      </c>
      <c r="AF40" t="str">
        <v>バリュ</v>
      </c>
      <c r="AG40" t="str">
        <v>やよいひめ</v>
      </c>
      <c r="AH40">
        <v>480</v>
      </c>
      <c r="AI40">
        <v>0</v>
      </c>
      <c r="AJ40">
        <v>4</v>
      </c>
    </row>
    <row r="41" spans="2:36">
      <c r="B41" s="5" t="str">
        <v>マルテー</v>
      </c>
      <c r="C41" t="str">
        <v>よつぼし</v>
      </c>
      <c r="D41">
        <v>260</v>
      </c>
      <c r="E41">
        <v>60</v>
      </c>
      <c r="F41">
        <v>1</v>
      </c>
      <c r="T41" t="str">
        <v>東レ</v>
      </c>
      <c r="U41" t="str">
        <v>よつぼし</v>
      </c>
      <c r="V41">
        <v>300</v>
      </c>
      <c r="W41">
        <v>4860</v>
      </c>
      <c r="X41">
        <v>3</v>
      </c>
      <c r="AF41" t="str">
        <v>バリュ</v>
      </c>
      <c r="AG41" t="str">
        <v>無</v>
      </c>
      <c r="AH41">
        <v>880</v>
      </c>
      <c r="AI41">
        <v>0</v>
      </c>
      <c r="AJ41">
        <v>0</v>
      </c>
    </row>
    <row r="42" spans="2:36">
      <c r="B42" s="5" t="str">
        <v>マルテー</v>
      </c>
      <c r="C42" t="str">
        <v>やよいひめ</v>
      </c>
      <c r="D42">
        <v>120</v>
      </c>
      <c r="E42">
        <v>60</v>
      </c>
      <c r="F42">
        <v>1</v>
      </c>
      <c r="T42" t="str">
        <v>東レ</v>
      </c>
      <c r="U42" t="str">
        <v>無</v>
      </c>
      <c r="V42">
        <v>2730</v>
      </c>
      <c r="W42">
        <v>4220</v>
      </c>
      <c r="X42">
        <v>14</v>
      </c>
      <c r="AF42" t="str">
        <v>バリュ</v>
      </c>
      <c r="AG42" t="str">
        <v>やよいひめ</v>
      </c>
      <c r="AH42">
        <v>730</v>
      </c>
      <c r="AI42">
        <v>0</v>
      </c>
      <c r="AJ42">
        <v>1</v>
      </c>
    </row>
    <row r="43" spans="2:36">
      <c r="B43" s="5" t="str">
        <v>マルテー</v>
      </c>
      <c r="C43" t="str">
        <v>紅ほっぺ（無）</v>
      </c>
      <c r="D43">
        <v>1835</v>
      </c>
      <c r="E43">
        <v>745</v>
      </c>
      <c r="F43">
        <v>18</v>
      </c>
      <c r="T43" t="str">
        <v>東レ</v>
      </c>
      <c r="U43" t="str">
        <v>よつぼし</v>
      </c>
      <c r="V43">
        <v>330</v>
      </c>
      <c r="W43">
        <v>1970</v>
      </c>
      <c r="X43">
        <v>2</v>
      </c>
    </row>
    <row r="44" spans="2:36">
      <c r="B44" s="5" t="str">
        <v>マルテー</v>
      </c>
      <c r="C44" t="str">
        <v>紅ほっぺ（無）</v>
      </c>
      <c r="D44">
        <v>2321</v>
      </c>
      <c r="E44">
        <v>121</v>
      </c>
      <c r="F44">
        <v>1</v>
      </c>
      <c r="T44" t="str">
        <v>東レ</v>
      </c>
      <c r="U44" t="str">
        <v>無</v>
      </c>
      <c r="V44">
        <v>1400</v>
      </c>
      <c r="W44">
        <v>1700</v>
      </c>
      <c r="X44">
        <v>11</v>
      </c>
      <c r="AF44" t="str" cm="1">
        <f t="array" ref="AF44:AI57">_xlfn._xlws.FILTER(AG3:AJ42,AG3:AG42="やよいひめ")</f>
        <v>やよいひめ</v>
      </c>
      <c r="AG44">
        <v>340</v>
      </c>
      <c r="AH44">
        <v>750</v>
      </c>
      <c r="AI44">
        <v>3</v>
      </c>
    </row>
    <row r="45" spans="2:36">
      <c r="B45" s="5" t="str">
        <v>マルテー</v>
      </c>
      <c r="C45" t="str">
        <v>かおり野</v>
      </c>
      <c r="D45">
        <v>139</v>
      </c>
      <c r="E45">
        <v>220</v>
      </c>
      <c r="F45">
        <v>0</v>
      </c>
      <c r="T45" t="str">
        <v>東レ</v>
      </c>
      <c r="U45" t="str">
        <v>よつぼし</v>
      </c>
      <c r="V45">
        <v>6100</v>
      </c>
      <c r="W45">
        <v>0</v>
      </c>
      <c r="X45">
        <v>0</v>
      </c>
      <c r="AF45" t="str">
        <v>やよいひめ</v>
      </c>
      <c r="AG45">
        <v>330</v>
      </c>
      <c r="AH45">
        <v>290</v>
      </c>
      <c r="AI45">
        <v>3</v>
      </c>
    </row>
    <row r="46" spans="2:36">
      <c r="B46" s="5" t="str">
        <v>マルテー</v>
      </c>
      <c r="C46" t="str">
        <v>よつぼし</v>
      </c>
      <c r="D46">
        <v>0</v>
      </c>
      <c r="E46">
        <v>0</v>
      </c>
      <c r="F46">
        <v>0</v>
      </c>
      <c r="T46" t="str">
        <v>東レ</v>
      </c>
      <c r="U46" t="str">
        <v>無</v>
      </c>
      <c r="V46">
        <v>6240</v>
      </c>
      <c r="W46">
        <v>0</v>
      </c>
      <c r="X46">
        <v>0</v>
      </c>
      <c r="AF46" t="str">
        <v>やよいひめ</v>
      </c>
      <c r="AG46">
        <v>320</v>
      </c>
      <c r="AH46">
        <v>280</v>
      </c>
      <c r="AI46">
        <v>2</v>
      </c>
    </row>
    <row r="47" spans="2:36">
      <c r="B47" s="5" t="str">
        <v>マルテー</v>
      </c>
      <c r="C47" t="str">
        <v>やよいひめ</v>
      </c>
      <c r="D47">
        <v>0</v>
      </c>
      <c r="E47">
        <v>0</v>
      </c>
      <c r="F47">
        <v>0</v>
      </c>
      <c r="T47" t="str">
        <v>東レ</v>
      </c>
      <c r="U47" t="str">
        <v>よつぼし</v>
      </c>
      <c r="V47">
        <v>1420</v>
      </c>
      <c r="W47">
        <v>0</v>
      </c>
      <c r="X47">
        <v>2</v>
      </c>
      <c r="AF47" t="str">
        <v>やよいひめ</v>
      </c>
      <c r="AG47">
        <v>190</v>
      </c>
      <c r="AH47">
        <v>150</v>
      </c>
      <c r="AI47">
        <v>1</v>
      </c>
    </row>
    <row r="48" spans="2:36">
      <c r="B48" s="5" t="str">
        <v>マルテー</v>
      </c>
      <c r="C48" t="str">
        <v>紅ほっぺ（無）</v>
      </c>
      <c r="D48">
        <v>2280</v>
      </c>
      <c r="E48">
        <v>1135</v>
      </c>
      <c r="F48">
        <v>17</v>
      </c>
      <c r="T48" t="str">
        <v>東レ</v>
      </c>
      <c r="U48" t="str">
        <v>無</v>
      </c>
      <c r="V48">
        <v>3360</v>
      </c>
      <c r="W48">
        <v>0</v>
      </c>
      <c r="X48">
        <v>0</v>
      </c>
      <c r="AF48" t="str">
        <v>やよいひめ</v>
      </c>
      <c r="AG48">
        <v>510</v>
      </c>
      <c r="AH48">
        <v>390</v>
      </c>
      <c r="AI48">
        <v>3</v>
      </c>
    </row>
    <row r="49" spans="2:35">
      <c r="B49" s="5" t="str">
        <v>マルテー</v>
      </c>
      <c r="C49" t="str">
        <v>紅ほっぺ（無）</v>
      </c>
      <c r="D49">
        <v>1920</v>
      </c>
      <c r="E49">
        <v>1230</v>
      </c>
      <c r="F49">
        <v>13</v>
      </c>
      <c r="AF49" t="str">
        <v>やよいひめ</v>
      </c>
      <c r="AG49">
        <v>780</v>
      </c>
      <c r="AH49">
        <v>1250</v>
      </c>
      <c r="AI49">
        <v>4</v>
      </c>
    </row>
    <row r="50" spans="2:35">
      <c r="B50" s="5" t="str">
        <v>マルテー</v>
      </c>
      <c r="C50" t="str">
        <v>かおり野</v>
      </c>
      <c r="D50">
        <v>140</v>
      </c>
      <c r="E50">
        <v>269</v>
      </c>
      <c r="F50">
        <v>1</v>
      </c>
      <c r="T50" t="str" cm="1">
        <f t="array" ref="T50:W75">_xlfn._xlws.FILTER(U3:X48, U3:U48="よつぼし")</f>
        <v>よつぼし</v>
      </c>
      <c r="U50">
        <v>0</v>
      </c>
      <c r="V50">
        <v>200</v>
      </c>
      <c r="W50">
        <v>0</v>
      </c>
      <c r="AF50" t="str">
        <v>やよいひめ</v>
      </c>
      <c r="AG50">
        <v>460</v>
      </c>
      <c r="AH50">
        <v>0</v>
      </c>
      <c r="AI50">
        <v>2</v>
      </c>
    </row>
    <row r="51" spans="2:35">
      <c r="B51" s="5" t="str">
        <v>マルテー</v>
      </c>
      <c r="C51" t="str">
        <v>よつぼし</v>
      </c>
      <c r="D51">
        <v>200</v>
      </c>
      <c r="E51">
        <v>166</v>
      </c>
      <c r="F51">
        <v>1</v>
      </c>
      <c r="T51" t="str">
        <v>よつぼし</v>
      </c>
      <c r="U51">
        <v>440</v>
      </c>
      <c r="V51">
        <v>0</v>
      </c>
      <c r="W51">
        <v>4</v>
      </c>
      <c r="AF51" t="str">
        <v>やよいひめ</v>
      </c>
      <c r="AG51">
        <v>200</v>
      </c>
      <c r="AH51">
        <v>120</v>
      </c>
      <c r="AI51">
        <v>2</v>
      </c>
    </row>
    <row r="52" spans="2:35">
      <c r="B52" s="5" t="str">
        <v>マルテー</v>
      </c>
      <c r="C52" t="str">
        <v>やよいひめ</v>
      </c>
      <c r="D52">
        <v>0</v>
      </c>
      <c r="E52">
        <v>0</v>
      </c>
      <c r="F52">
        <v>0</v>
      </c>
      <c r="T52" t="str">
        <v>よつぼし</v>
      </c>
      <c r="U52">
        <v>960</v>
      </c>
      <c r="V52">
        <v>560</v>
      </c>
      <c r="W52">
        <v>8</v>
      </c>
      <c r="AF52" t="str">
        <v>やよいひめ</v>
      </c>
      <c r="AG52">
        <v>4170</v>
      </c>
      <c r="AH52">
        <v>1400</v>
      </c>
      <c r="AI52">
        <v>40</v>
      </c>
    </row>
    <row r="53" spans="2:35">
      <c r="B53" s="5" t="str">
        <v>マルテー</v>
      </c>
      <c r="C53" t="str">
        <v>紅ほっぺ（無）</v>
      </c>
      <c r="D53">
        <v>5460</v>
      </c>
      <c r="E53">
        <v>500</v>
      </c>
      <c r="F53">
        <v>20</v>
      </c>
      <c r="T53" t="str">
        <v>よつぼし</v>
      </c>
      <c r="U53">
        <v>160</v>
      </c>
      <c r="V53">
        <v>800</v>
      </c>
      <c r="W53">
        <v>0</v>
      </c>
      <c r="AF53" t="str">
        <v>やよいひめ</v>
      </c>
      <c r="AG53">
        <v>680</v>
      </c>
      <c r="AH53">
        <v>0</v>
      </c>
      <c r="AI53">
        <v>5</v>
      </c>
    </row>
    <row r="54" spans="2:35">
      <c r="B54" s="5" t="str">
        <v>マルテー</v>
      </c>
      <c r="C54" t="str">
        <v>紅ほっぺ（無）</v>
      </c>
      <c r="D54">
        <v>0</v>
      </c>
      <c r="E54">
        <v>0</v>
      </c>
      <c r="F54">
        <v>0</v>
      </c>
      <c r="T54" t="str">
        <v>よつぼし</v>
      </c>
      <c r="U54">
        <v>1240</v>
      </c>
      <c r="V54">
        <v>0</v>
      </c>
      <c r="W54">
        <v>10</v>
      </c>
      <c r="AF54" t="str">
        <v>やよいひめ</v>
      </c>
      <c r="AG54">
        <v>370</v>
      </c>
      <c r="AH54">
        <v>130</v>
      </c>
      <c r="AI54">
        <v>3</v>
      </c>
    </row>
    <row r="55" spans="2:35">
      <c r="B55" s="5" t="str">
        <v>マルテー</v>
      </c>
      <c r="C55" t="str">
        <v>かおり野</v>
      </c>
      <c r="D55">
        <v>340</v>
      </c>
      <c r="E55">
        <v>1840</v>
      </c>
      <c r="F55">
        <v>1</v>
      </c>
      <c r="T55" t="str">
        <v>よつぼし</v>
      </c>
      <c r="U55">
        <v>1880</v>
      </c>
      <c r="V55">
        <v>2480</v>
      </c>
      <c r="W55">
        <v>10</v>
      </c>
      <c r="AF55" t="str">
        <v>やよいひめ</v>
      </c>
      <c r="AG55">
        <v>850</v>
      </c>
      <c r="AH55">
        <v>0</v>
      </c>
      <c r="AI55">
        <v>6</v>
      </c>
    </row>
    <row r="56" spans="2:35">
      <c r="B56" s="5" t="str">
        <v>マルテー</v>
      </c>
      <c r="C56" t="str">
        <v>よつぼし</v>
      </c>
      <c r="D56">
        <v>300</v>
      </c>
      <c r="E56">
        <v>0</v>
      </c>
      <c r="F56">
        <v>3</v>
      </c>
      <c r="T56" t="str">
        <v>よつぼし</v>
      </c>
      <c r="U56">
        <v>2036</v>
      </c>
      <c r="V56">
        <v>435</v>
      </c>
      <c r="W56">
        <v>15</v>
      </c>
      <c r="AF56" t="str">
        <v>やよいひめ</v>
      </c>
      <c r="AG56">
        <v>480</v>
      </c>
      <c r="AH56">
        <v>0</v>
      </c>
      <c r="AI56">
        <v>4</v>
      </c>
    </row>
    <row r="57" spans="2:35">
      <c r="B57" s="5" t="str">
        <v>マルテー</v>
      </c>
      <c r="C57" t="str">
        <v>やよいひめ</v>
      </c>
      <c r="D57">
        <v>0</v>
      </c>
      <c r="E57">
        <v>0</v>
      </c>
      <c r="F57">
        <v>0</v>
      </c>
      <c r="T57" t="str">
        <v>よつぼし</v>
      </c>
      <c r="U57">
        <v>1990</v>
      </c>
      <c r="V57">
        <v>1250</v>
      </c>
      <c r="W57">
        <v>17</v>
      </c>
      <c r="AF57" t="str">
        <v>やよいひめ</v>
      </c>
      <c r="AG57">
        <v>730</v>
      </c>
      <c r="AH57">
        <v>0</v>
      </c>
      <c r="AI57">
        <v>1</v>
      </c>
    </row>
    <row r="58" spans="2:35">
      <c r="B58" s="5" t="str">
        <v>マルテー</v>
      </c>
      <c r="C58" t="str">
        <v>紅ほっぺ（無）</v>
      </c>
      <c r="D58">
        <v>580</v>
      </c>
      <c r="E58">
        <v>1480</v>
      </c>
      <c r="F58">
        <v>10</v>
      </c>
      <c r="T58" t="str">
        <v>よつぼし</v>
      </c>
      <c r="U58">
        <v>1990</v>
      </c>
      <c r="V58">
        <v>1350</v>
      </c>
      <c r="W58">
        <v>17</v>
      </c>
    </row>
    <row r="59" spans="2:35">
      <c r="B59" s="5" t="str">
        <v>マルテー</v>
      </c>
      <c r="C59" t="str">
        <v>紅ほっぺ（無）</v>
      </c>
      <c r="D59">
        <v>4620</v>
      </c>
      <c r="E59">
        <v>0</v>
      </c>
      <c r="F59">
        <v>30</v>
      </c>
      <c r="T59" t="str">
        <v>よつぼし</v>
      </c>
      <c r="U59">
        <v>2300</v>
      </c>
      <c r="V59">
        <v>325</v>
      </c>
      <c r="W59">
        <v>22</v>
      </c>
    </row>
    <row r="60" spans="2:35">
      <c r="B60" s="5" t="str">
        <v>マルテー</v>
      </c>
      <c r="C60" t="str">
        <v>かおり野</v>
      </c>
      <c r="D60">
        <v>340</v>
      </c>
      <c r="E60">
        <v>2200</v>
      </c>
      <c r="F60">
        <v>2</v>
      </c>
      <c r="T60" t="str">
        <v>よつぼし</v>
      </c>
      <c r="U60">
        <v>1326</v>
      </c>
      <c r="V60">
        <v>2050</v>
      </c>
      <c r="W60">
        <v>12</v>
      </c>
      <c r="AF60" t="str" cm="1">
        <f t="array" ref="AF60:AI73">_xlfn._xlws.FILTER(AG3:AJ42,AG3:AG42="無")</f>
        <v>無</v>
      </c>
      <c r="AG60">
        <v>400</v>
      </c>
      <c r="AH60">
        <v>1240</v>
      </c>
      <c r="AI60">
        <v>3</v>
      </c>
    </row>
    <row r="61" spans="2:35">
      <c r="B61" s="5" t="str">
        <v>マルテー</v>
      </c>
      <c r="C61" t="str">
        <v>よつぼし</v>
      </c>
      <c r="D61">
        <v>360</v>
      </c>
      <c r="E61">
        <v>3190</v>
      </c>
      <c r="F61">
        <v>0</v>
      </c>
      <c r="T61" t="str">
        <v>よつぼし</v>
      </c>
      <c r="U61">
        <v>1160</v>
      </c>
      <c r="V61">
        <v>2420</v>
      </c>
      <c r="W61">
        <v>11</v>
      </c>
      <c r="AF61" t="str">
        <v>無</v>
      </c>
      <c r="AG61">
        <v>270</v>
      </c>
      <c r="AH61">
        <v>510</v>
      </c>
      <c r="AI61">
        <v>2</v>
      </c>
    </row>
    <row r="62" spans="2:35">
      <c r="B62" s="5" t="str">
        <v>マルテー</v>
      </c>
      <c r="C62" t="str">
        <v>やよいひめ</v>
      </c>
      <c r="D62">
        <v>160</v>
      </c>
      <c r="E62">
        <v>0</v>
      </c>
      <c r="F62">
        <v>1</v>
      </c>
      <c r="T62" t="str">
        <v>よつぼし</v>
      </c>
      <c r="U62">
        <v>551</v>
      </c>
      <c r="V62">
        <v>479</v>
      </c>
      <c r="W62">
        <v>5</v>
      </c>
      <c r="AF62" t="str">
        <v>無</v>
      </c>
      <c r="AG62">
        <v>230</v>
      </c>
      <c r="AH62">
        <v>620</v>
      </c>
      <c r="AI62">
        <v>2</v>
      </c>
    </row>
    <row r="63" spans="2:35">
      <c r="B63" s="5" t="str">
        <v>マルテー</v>
      </c>
      <c r="C63" t="str">
        <v>無</v>
      </c>
      <c r="D63">
        <v>2420</v>
      </c>
      <c r="E63">
        <v>4140</v>
      </c>
      <c r="F63">
        <v>17</v>
      </c>
      <c r="T63" t="str">
        <v>よつぼし</v>
      </c>
      <c r="U63">
        <v>440</v>
      </c>
      <c r="V63">
        <v>1360</v>
      </c>
      <c r="W63">
        <v>4</v>
      </c>
      <c r="AF63" t="str">
        <v>無</v>
      </c>
      <c r="AG63">
        <v>460</v>
      </c>
      <c r="AH63">
        <v>240</v>
      </c>
      <c r="AI63">
        <v>2</v>
      </c>
    </row>
    <row r="64" spans="2:35">
      <c r="B64" s="5" t="str">
        <v>マルテー</v>
      </c>
      <c r="C64" t="str">
        <v>かおりの</v>
      </c>
      <c r="D64">
        <v>340</v>
      </c>
      <c r="E64">
        <v>0</v>
      </c>
      <c r="F64">
        <v>2</v>
      </c>
      <c r="T64" t="str">
        <v>よつぼし</v>
      </c>
      <c r="U64">
        <v>100</v>
      </c>
      <c r="V64">
        <v>610</v>
      </c>
      <c r="W64">
        <v>1</v>
      </c>
      <c r="AF64" t="str">
        <v>無</v>
      </c>
      <c r="AG64">
        <v>590</v>
      </c>
      <c r="AH64">
        <v>430</v>
      </c>
      <c r="AI64">
        <v>4</v>
      </c>
    </row>
    <row r="65" spans="2:35">
      <c r="B65" s="5" t="str">
        <v>マルテー</v>
      </c>
      <c r="C65" t="str">
        <v>よつぼし</v>
      </c>
      <c r="D65">
        <v>0</v>
      </c>
      <c r="E65">
        <v>720</v>
      </c>
      <c r="F65">
        <v>0</v>
      </c>
      <c r="T65" t="str">
        <v>よつぼし</v>
      </c>
      <c r="U65">
        <v>100</v>
      </c>
      <c r="V65">
        <v>0</v>
      </c>
      <c r="W65">
        <v>1</v>
      </c>
      <c r="AF65" t="str">
        <v>無</v>
      </c>
      <c r="AG65">
        <v>1150</v>
      </c>
      <c r="AH65">
        <v>520</v>
      </c>
      <c r="AI65">
        <v>10</v>
      </c>
    </row>
    <row r="66" spans="2:35">
      <c r="B66" s="5" t="str">
        <v>マルテー</v>
      </c>
      <c r="C66" t="str">
        <v>弥生姫</v>
      </c>
      <c r="D66">
        <v>120</v>
      </c>
      <c r="E66">
        <v>0</v>
      </c>
      <c r="F66">
        <v>1</v>
      </c>
      <c r="T66" t="str">
        <v>よつぼし</v>
      </c>
      <c r="U66">
        <v>1840</v>
      </c>
      <c r="V66">
        <v>230</v>
      </c>
      <c r="W66">
        <v>17</v>
      </c>
      <c r="AF66" t="str">
        <v>無</v>
      </c>
      <c r="AG66">
        <v>1730</v>
      </c>
      <c r="AH66">
        <v>700</v>
      </c>
      <c r="AI66">
        <v>16</v>
      </c>
    </row>
    <row r="67" spans="2:35">
      <c r="B67" s="5" t="str">
        <v>マルテー</v>
      </c>
      <c r="C67" t="str">
        <v>無</v>
      </c>
      <c r="D67">
        <v>1700</v>
      </c>
      <c r="E67">
        <v>2540</v>
      </c>
      <c r="F67">
        <v>15</v>
      </c>
      <c r="T67" t="str">
        <v>よつぼし</v>
      </c>
      <c r="U67">
        <v>2250</v>
      </c>
      <c r="V67">
        <v>240</v>
      </c>
      <c r="W67">
        <v>21</v>
      </c>
      <c r="AF67" t="str">
        <v>無</v>
      </c>
      <c r="AG67">
        <v>880</v>
      </c>
      <c r="AH67">
        <v>670</v>
      </c>
      <c r="AI67">
        <v>8</v>
      </c>
    </row>
    <row r="68" spans="2:35">
      <c r="B68" s="5" t="str">
        <v>マルテー</v>
      </c>
      <c r="C68" t="str">
        <v>かおり野</v>
      </c>
      <c r="D68">
        <v>0</v>
      </c>
      <c r="E68">
        <v>360</v>
      </c>
      <c r="F68">
        <v>0</v>
      </c>
      <c r="T68" t="str">
        <v>よつぼし</v>
      </c>
      <c r="U68">
        <v>5420</v>
      </c>
      <c r="V68">
        <v>500</v>
      </c>
      <c r="W68">
        <v>39</v>
      </c>
      <c r="AF68" t="str">
        <v>無</v>
      </c>
      <c r="AG68">
        <v>450</v>
      </c>
      <c r="AH68">
        <v>140</v>
      </c>
      <c r="AI68">
        <v>4</v>
      </c>
    </row>
    <row r="69" spans="2:35">
      <c r="B69" s="5" t="str">
        <v>マルテー</v>
      </c>
      <c r="C69" t="str">
        <v>よつぼし</v>
      </c>
      <c r="D69">
        <v>0</v>
      </c>
      <c r="E69">
        <v>300</v>
      </c>
      <c r="F69">
        <v>0</v>
      </c>
      <c r="T69" t="str">
        <v>よつぼし</v>
      </c>
      <c r="U69">
        <v>4290</v>
      </c>
      <c r="V69">
        <v>3330</v>
      </c>
      <c r="W69">
        <v>40</v>
      </c>
      <c r="AF69" t="str">
        <v>無</v>
      </c>
      <c r="AG69">
        <v>4000</v>
      </c>
      <c r="AH69">
        <v>1560</v>
      </c>
      <c r="AI69">
        <v>38</v>
      </c>
    </row>
    <row r="70" spans="2:35">
      <c r="B70" s="5" t="str">
        <v>マルテー</v>
      </c>
      <c r="C70" t="str">
        <v>やよいひめ</v>
      </c>
      <c r="D70">
        <v>0</v>
      </c>
      <c r="E70">
        <v>220</v>
      </c>
      <c r="F70">
        <v>0</v>
      </c>
      <c r="T70" t="str">
        <v>よつぼし</v>
      </c>
      <c r="U70">
        <v>1110</v>
      </c>
      <c r="V70">
        <v>2930</v>
      </c>
      <c r="W70">
        <v>11</v>
      </c>
      <c r="AF70" t="str">
        <v>無</v>
      </c>
      <c r="AG70">
        <v>840</v>
      </c>
      <c r="AH70">
        <v>300</v>
      </c>
      <c r="AI70">
        <v>6</v>
      </c>
    </row>
    <row r="71" spans="2:35">
      <c r="B71" s="5" t="str">
        <v>マルテー</v>
      </c>
      <c r="C71" t="str">
        <v>無</v>
      </c>
      <c r="D71">
        <v>980</v>
      </c>
      <c r="E71">
        <v>3180</v>
      </c>
      <c r="F71">
        <v>9</v>
      </c>
      <c r="T71" t="str">
        <v>よつぼし</v>
      </c>
      <c r="U71">
        <v>0</v>
      </c>
      <c r="V71">
        <v>3400</v>
      </c>
      <c r="W71">
        <v>0</v>
      </c>
      <c r="AF71" t="str">
        <v>無</v>
      </c>
      <c r="AG71">
        <v>410</v>
      </c>
      <c r="AH71">
        <v>880</v>
      </c>
      <c r="AI71">
        <v>2</v>
      </c>
    </row>
    <row r="72" spans="2:35">
      <c r="B72" s="5" t="str">
        <v>マルテー</v>
      </c>
      <c r="C72" t="str">
        <v>かおり野</v>
      </c>
      <c r="D72">
        <v>270</v>
      </c>
      <c r="E72">
        <v>270</v>
      </c>
      <c r="F72">
        <v>2</v>
      </c>
      <c r="T72" t="str">
        <v>よつぼし</v>
      </c>
      <c r="U72">
        <v>300</v>
      </c>
      <c r="V72">
        <v>4860</v>
      </c>
      <c r="W72">
        <v>3</v>
      </c>
      <c r="AF72" t="str">
        <v>無</v>
      </c>
      <c r="AG72">
        <v>240</v>
      </c>
      <c r="AH72">
        <v>0</v>
      </c>
      <c r="AI72">
        <v>2</v>
      </c>
    </row>
    <row r="73" spans="2:35">
      <c r="B73" s="5" t="str">
        <v>マルテー</v>
      </c>
      <c r="C73" t="str">
        <v>よつぼし</v>
      </c>
      <c r="D73">
        <v>0</v>
      </c>
      <c r="E73">
        <v>440</v>
      </c>
      <c r="F73">
        <v>0</v>
      </c>
      <c r="T73" t="str">
        <v>よつぼし</v>
      </c>
      <c r="U73">
        <v>330</v>
      </c>
      <c r="V73">
        <v>1970</v>
      </c>
      <c r="W73">
        <v>2</v>
      </c>
      <c r="AF73" t="str">
        <v>無</v>
      </c>
      <c r="AG73">
        <v>880</v>
      </c>
      <c r="AH73">
        <v>0</v>
      </c>
      <c r="AI73">
        <v>0</v>
      </c>
    </row>
    <row r="74" spans="2:35">
      <c r="B74" s="5" t="str">
        <v>マルテー</v>
      </c>
      <c r="C74" t="str">
        <v>やよいひめ</v>
      </c>
      <c r="D74">
        <v>120</v>
      </c>
      <c r="E74">
        <v>440</v>
      </c>
      <c r="F74">
        <v>1</v>
      </c>
      <c r="T74" t="str">
        <v>よつぼし</v>
      </c>
      <c r="U74">
        <v>6100</v>
      </c>
      <c r="V74">
        <v>0</v>
      </c>
      <c r="W74">
        <v>0</v>
      </c>
    </row>
    <row r="75" spans="2:35">
      <c r="B75" s="5" t="str">
        <v>マルテー</v>
      </c>
      <c r="C75" t="str">
        <v>無</v>
      </c>
      <c r="D75">
        <v>530</v>
      </c>
      <c r="E75">
        <v>1110</v>
      </c>
      <c r="F75">
        <v>5</v>
      </c>
      <c r="T75" t="str">
        <v>よつぼし</v>
      </c>
      <c r="U75">
        <v>1420</v>
      </c>
      <c r="V75">
        <v>0</v>
      </c>
      <c r="W75">
        <v>2</v>
      </c>
      <c r="AF75" t="str" cm="1">
        <f t="array" ref="AF75:AI86">_xlfn._xlws.FILTER(AG3:AJ42,ISNUMBER(SEARCH("紅ほっぺ",AG3:AG42)))</f>
        <v>紅ほっぺ（断）</v>
      </c>
      <c r="AG75">
        <v>400</v>
      </c>
      <c r="AH75">
        <v>0</v>
      </c>
      <c r="AI75">
        <v>0</v>
      </c>
    </row>
    <row r="76" spans="2:35">
      <c r="B76" s="5" t="str">
        <v>マルテー</v>
      </c>
      <c r="C76" t="str">
        <v>かおり野</v>
      </c>
      <c r="D76">
        <v>0</v>
      </c>
      <c r="E76">
        <v>100</v>
      </c>
      <c r="F76">
        <v>0</v>
      </c>
      <c r="AF76" t="str">
        <v>紅ほっぺ</v>
      </c>
      <c r="AG76">
        <v>1140</v>
      </c>
      <c r="AH76">
        <v>0</v>
      </c>
      <c r="AI76">
        <v>0</v>
      </c>
    </row>
    <row r="77" spans="2:35">
      <c r="B77" s="5" t="str">
        <v>マルテー</v>
      </c>
      <c r="C77" t="str">
        <v>よつぼし</v>
      </c>
      <c r="D77">
        <v>100</v>
      </c>
      <c r="E77">
        <v>100</v>
      </c>
      <c r="F77">
        <v>1</v>
      </c>
      <c r="AF77" t="str">
        <v>紅ほっぺ</v>
      </c>
      <c r="AG77">
        <v>1320</v>
      </c>
      <c r="AH77">
        <v>0</v>
      </c>
      <c r="AI77">
        <v>11</v>
      </c>
    </row>
    <row r="78" spans="2:35">
      <c r="B78" s="5" t="str">
        <v>マルテー</v>
      </c>
      <c r="C78" t="str">
        <v>やよいひめ</v>
      </c>
      <c r="D78">
        <v>0</v>
      </c>
      <c r="E78">
        <v>80</v>
      </c>
      <c r="F78">
        <v>0</v>
      </c>
      <c r="T78" t="str" cm="1">
        <f t="array" ref="T78:W87">_xlfn._xlws.FILTER(U3:X48, U3:U48="無")</f>
        <v>無</v>
      </c>
      <c r="U78">
        <v>0</v>
      </c>
      <c r="V78">
        <v>630</v>
      </c>
      <c r="W78">
        <v>0</v>
      </c>
      <c r="AF78" t="str">
        <v>紅ほっぺ</v>
      </c>
      <c r="AG78">
        <v>886</v>
      </c>
      <c r="AH78">
        <v>654</v>
      </c>
      <c r="AI78">
        <v>8</v>
      </c>
    </row>
    <row r="79" spans="2:35">
      <c r="B79" s="5" t="str">
        <v>マルテー</v>
      </c>
      <c r="C79" t="str">
        <v>無</v>
      </c>
      <c r="D79">
        <v>420</v>
      </c>
      <c r="E79">
        <v>1820</v>
      </c>
      <c r="F79">
        <v>4</v>
      </c>
      <c r="T79" t="str">
        <v>無</v>
      </c>
      <c r="U79">
        <v>240</v>
      </c>
      <c r="V79">
        <v>330</v>
      </c>
      <c r="W79">
        <v>2</v>
      </c>
      <c r="AF79" t="str">
        <v>紅ほっぺ</v>
      </c>
      <c r="AG79">
        <v>1080</v>
      </c>
      <c r="AH79">
        <v>430</v>
      </c>
      <c r="AI79">
        <v>5</v>
      </c>
    </row>
    <row r="80" spans="2:35">
      <c r="B80" s="5" t="str">
        <v>マルテー</v>
      </c>
      <c r="C80" t="str">
        <v>かおり野</v>
      </c>
      <c r="D80">
        <v>110</v>
      </c>
      <c r="E80">
        <v>150</v>
      </c>
      <c r="F80">
        <v>1</v>
      </c>
      <c r="T80" t="str">
        <v>無</v>
      </c>
      <c r="U80">
        <v>1600</v>
      </c>
      <c r="V80">
        <v>860</v>
      </c>
      <c r="W80">
        <v>15</v>
      </c>
      <c r="AF80" t="str">
        <v>紅ほっぺ</v>
      </c>
      <c r="AG80">
        <v>160</v>
      </c>
      <c r="AH80">
        <v>380</v>
      </c>
      <c r="AI80">
        <v>1</v>
      </c>
    </row>
    <row r="81" spans="2:35">
      <c r="B81" s="5" t="str">
        <v>マルテー</v>
      </c>
      <c r="C81" t="str">
        <v>よつぼし</v>
      </c>
      <c r="D81">
        <v>320</v>
      </c>
      <c r="E81">
        <v>160</v>
      </c>
      <c r="F81">
        <v>3</v>
      </c>
      <c r="T81" t="str">
        <v>無</v>
      </c>
      <c r="U81">
        <v>3060</v>
      </c>
      <c r="V81">
        <v>1580</v>
      </c>
      <c r="W81">
        <v>22</v>
      </c>
      <c r="AF81" t="str">
        <v>紅ほっぺ</v>
      </c>
      <c r="AG81">
        <v>220</v>
      </c>
      <c r="AH81">
        <v>180</v>
      </c>
      <c r="AI81">
        <v>2</v>
      </c>
    </row>
    <row r="82" spans="2:35">
      <c r="B82" s="5" t="str">
        <v>マルテー</v>
      </c>
      <c r="C82" t="str">
        <v>やよいひめ</v>
      </c>
      <c r="D82">
        <v>120</v>
      </c>
      <c r="E82">
        <v>220</v>
      </c>
      <c r="F82">
        <v>1</v>
      </c>
      <c r="T82" t="str">
        <v>無</v>
      </c>
      <c r="U82">
        <v>3000</v>
      </c>
      <c r="V82">
        <v>2000</v>
      </c>
      <c r="W82">
        <v>28</v>
      </c>
      <c r="AF82" t="str">
        <v>紅ほっぺ</v>
      </c>
      <c r="AG82">
        <v>170</v>
      </c>
      <c r="AH82">
        <v>135</v>
      </c>
      <c r="AI82">
        <v>1</v>
      </c>
    </row>
    <row r="83" spans="2:35">
      <c r="B83" s="5" t="str">
        <v>マルテー</v>
      </c>
      <c r="C83" t="str">
        <v>無</v>
      </c>
      <c r="D83">
        <v>790</v>
      </c>
      <c r="E83">
        <v>1690</v>
      </c>
      <c r="F83">
        <v>8</v>
      </c>
      <c r="T83" t="str">
        <v>無</v>
      </c>
      <c r="U83">
        <v>2120</v>
      </c>
      <c r="V83">
        <v>6920</v>
      </c>
      <c r="W83">
        <v>19</v>
      </c>
      <c r="AF83" t="str">
        <v>紅ほっぺ</v>
      </c>
      <c r="AG83">
        <v>0</v>
      </c>
      <c r="AH83">
        <v>0</v>
      </c>
      <c r="AI83">
        <v>0</v>
      </c>
    </row>
    <row r="84" spans="2:35">
      <c r="B84" s="5" t="str">
        <v>マルテー</v>
      </c>
      <c r="C84" t="str">
        <v>かおり野</v>
      </c>
      <c r="D84">
        <v>330</v>
      </c>
      <c r="E84">
        <v>290</v>
      </c>
      <c r="F84">
        <v>3</v>
      </c>
      <c r="T84" t="str">
        <v>無</v>
      </c>
      <c r="U84">
        <v>2730</v>
      </c>
      <c r="V84">
        <v>4220</v>
      </c>
      <c r="W84">
        <v>14</v>
      </c>
      <c r="AF84" t="str">
        <v>紅ほっぺ</v>
      </c>
      <c r="AG84">
        <v>0</v>
      </c>
      <c r="AH84">
        <v>0</v>
      </c>
      <c r="AI84">
        <v>0</v>
      </c>
    </row>
    <row r="85" spans="2:35">
      <c r="B85" s="5" t="str">
        <v>マルテー</v>
      </c>
      <c r="C85" t="str">
        <v>よつぼし</v>
      </c>
      <c r="D85">
        <v>320</v>
      </c>
      <c r="E85">
        <v>590</v>
      </c>
      <c r="F85">
        <v>3</v>
      </c>
      <c r="T85" t="str">
        <v>無</v>
      </c>
      <c r="U85">
        <v>1400</v>
      </c>
      <c r="V85">
        <v>1700</v>
      </c>
      <c r="W85">
        <v>11</v>
      </c>
      <c r="AF85" t="str">
        <v>紅ほっぺ</v>
      </c>
      <c r="AG85">
        <v>466</v>
      </c>
      <c r="AH85">
        <v>1474</v>
      </c>
      <c r="AI85">
        <v>3</v>
      </c>
    </row>
    <row r="86" spans="2:35">
      <c r="B86" s="5" t="str">
        <v>マルテー</v>
      </c>
      <c r="C86" t="str">
        <v>やよいひめ</v>
      </c>
      <c r="D86">
        <v>410</v>
      </c>
      <c r="E86">
        <v>630</v>
      </c>
      <c r="F86">
        <v>4</v>
      </c>
      <c r="T86" t="str">
        <v>無</v>
      </c>
      <c r="U86">
        <v>6240</v>
      </c>
      <c r="V86">
        <v>0</v>
      </c>
      <c r="W86">
        <v>0</v>
      </c>
      <c r="AF86" t="str">
        <v>紅ほっぺ</v>
      </c>
      <c r="AG86">
        <v>100</v>
      </c>
      <c r="AH86">
        <v>160</v>
      </c>
      <c r="AI86">
        <v>1</v>
      </c>
    </row>
    <row r="87" spans="2:35">
      <c r="B87" s="5" t="str">
        <v>マルテー</v>
      </c>
      <c r="C87" t="str">
        <v>無</v>
      </c>
      <c r="D87">
        <v>0</v>
      </c>
      <c r="E87">
        <v>1660</v>
      </c>
      <c r="F87">
        <v>0</v>
      </c>
      <c r="N87" s="9" t="s">
        <v>66</v>
      </c>
      <c r="T87" t="str">
        <v>無</v>
      </c>
      <c r="U87">
        <v>3360</v>
      </c>
      <c r="V87">
        <v>0</v>
      </c>
      <c r="W87">
        <v>0</v>
      </c>
    </row>
    <row r="88" spans="2:35">
      <c r="B88" s="5" t="str">
        <v>マルテー</v>
      </c>
      <c r="C88" t="str">
        <v>かおり野</v>
      </c>
      <c r="D88">
        <v>320</v>
      </c>
      <c r="E88">
        <v>240</v>
      </c>
      <c r="F88">
        <v>3</v>
      </c>
      <c r="N88" s="9" t="s">
        <v>112</v>
      </c>
    </row>
    <row r="89" spans="2:35">
      <c r="B89" s="5" t="str">
        <v>マルテー</v>
      </c>
      <c r="C89" t="str">
        <v>よつぼし</v>
      </c>
      <c r="D89">
        <v>320</v>
      </c>
      <c r="E89">
        <v>700</v>
      </c>
      <c r="F89">
        <v>3</v>
      </c>
      <c r="N89" t="s">
        <v>65</v>
      </c>
    </row>
    <row r="90" spans="2:35">
      <c r="B90" s="5" t="str">
        <v>マルテー</v>
      </c>
      <c r="C90" t="str">
        <v>やよいひめ</v>
      </c>
      <c r="D90">
        <v>940</v>
      </c>
      <c r="E90">
        <v>580</v>
      </c>
      <c r="F90">
        <v>9</v>
      </c>
    </row>
    <row r="91" spans="2:35">
      <c r="B91" s="5" t="str">
        <v>マルテー</v>
      </c>
      <c r="C91" t="str">
        <v>無</v>
      </c>
      <c r="D91">
        <v>100</v>
      </c>
      <c r="E91">
        <v>400</v>
      </c>
      <c r="F91">
        <v>1</v>
      </c>
      <c r="T91" s="9" t="str" cm="1">
        <f t="array" ref="T91:W100">_xlfn._xlws.FILTER(U3:X24,ISNUMBER(SEARCH("紅ほっぺ",U3:U24)))</f>
        <v>紅ほっぺ（断）</v>
      </c>
      <c r="U91">
        <v>170</v>
      </c>
      <c r="V91">
        <v>0</v>
      </c>
      <c r="W91">
        <v>0</v>
      </c>
    </row>
    <row r="92" spans="2:35">
      <c r="B92" s="5" t="str">
        <v>マルテー</v>
      </c>
      <c r="C92" t="str">
        <v>かおりの</v>
      </c>
      <c r="D92">
        <v>100</v>
      </c>
      <c r="E92">
        <v>80</v>
      </c>
      <c r="F92">
        <v>1</v>
      </c>
      <c r="T92" t="str">
        <v>紅ほっぺ</v>
      </c>
      <c r="U92">
        <v>3940</v>
      </c>
      <c r="V92">
        <v>0</v>
      </c>
      <c r="W92">
        <v>28</v>
      </c>
    </row>
    <row r="93" spans="2:35">
      <c r="B93" s="5" t="str">
        <v>マルテー</v>
      </c>
      <c r="C93" t="str">
        <v>よつぼし</v>
      </c>
      <c r="D93">
        <v>140</v>
      </c>
      <c r="E93">
        <v>600</v>
      </c>
      <c r="F93">
        <v>6</v>
      </c>
      <c r="T93" t="str">
        <v>紅ほっぺ</v>
      </c>
      <c r="U93">
        <v>820</v>
      </c>
      <c r="V93">
        <v>0</v>
      </c>
      <c r="W93">
        <v>7</v>
      </c>
    </row>
    <row r="94" spans="2:35">
      <c r="B94" s="5" t="str">
        <v>マルテー</v>
      </c>
      <c r="C94" t="str">
        <v>やよいひめ</v>
      </c>
      <c r="D94">
        <v>900</v>
      </c>
      <c r="E94">
        <v>780</v>
      </c>
      <c r="F94">
        <v>6</v>
      </c>
      <c r="T94" t="str">
        <v>紅ほっぺ（無）</v>
      </c>
      <c r="U94">
        <v>1240</v>
      </c>
      <c r="V94">
        <v>420</v>
      </c>
      <c r="W94">
        <v>8</v>
      </c>
    </row>
    <row r="95" spans="2:35">
      <c r="B95" s="5" t="str">
        <v>マルテー</v>
      </c>
      <c r="C95" t="str">
        <v>かおりの</v>
      </c>
      <c r="D95">
        <v>140</v>
      </c>
      <c r="E95">
        <v>160</v>
      </c>
      <c r="F95">
        <v>1</v>
      </c>
      <c r="T95" t="str">
        <v>紅ほっぺ（無）</v>
      </c>
      <c r="U95">
        <v>1800</v>
      </c>
      <c r="V95">
        <v>0</v>
      </c>
      <c r="W95">
        <v>8</v>
      </c>
    </row>
    <row r="96" spans="2:35">
      <c r="B96" s="5" t="str">
        <v>マルテー</v>
      </c>
      <c r="C96" t="str">
        <v>よつぼし</v>
      </c>
      <c r="D96">
        <v>120</v>
      </c>
      <c r="E96">
        <v>200</v>
      </c>
      <c r="F96">
        <v>1</v>
      </c>
      <c r="T96" t="str">
        <v>紅ほっぺ（無）</v>
      </c>
      <c r="U96">
        <v>2300</v>
      </c>
      <c r="V96">
        <v>2707</v>
      </c>
      <c r="W96">
        <v>23</v>
      </c>
    </row>
    <row r="97" spans="2:23">
      <c r="B97" s="5" t="str">
        <v>マルテー</v>
      </c>
      <c r="C97" t="str">
        <v>やよいひめ</v>
      </c>
      <c r="D97">
        <v>340</v>
      </c>
      <c r="E97">
        <v>220</v>
      </c>
      <c r="F97">
        <v>3</v>
      </c>
      <c r="T97" t="str">
        <v>紅ほっぺ（無）</v>
      </c>
      <c r="U97">
        <v>1240</v>
      </c>
      <c r="V97">
        <v>1532</v>
      </c>
      <c r="W97">
        <v>9</v>
      </c>
    </row>
    <row r="98" spans="2:23">
      <c r="B98" s="5" t="str">
        <v>マルテー</v>
      </c>
      <c r="C98" t="str">
        <v>無</v>
      </c>
      <c r="D98">
        <v>0</v>
      </c>
      <c r="E98">
        <v>1240</v>
      </c>
      <c r="F98">
        <v>0</v>
      </c>
      <c r="T98" t="str">
        <v>紅ほっぺ（無）</v>
      </c>
      <c r="U98">
        <v>1020</v>
      </c>
      <c r="V98">
        <v>1280</v>
      </c>
      <c r="W98">
        <v>7</v>
      </c>
    </row>
    <row r="99" spans="2:23">
      <c r="B99" s="5" t="str">
        <v>マルテー</v>
      </c>
      <c r="C99" t="str">
        <v>かおり野</v>
      </c>
      <c r="D99">
        <v>0</v>
      </c>
      <c r="E99">
        <v>500</v>
      </c>
      <c r="F99">
        <v>0</v>
      </c>
      <c r="T99" t="str">
        <v>紅ほっぺ（無）</v>
      </c>
      <c r="U99">
        <v>280</v>
      </c>
      <c r="V99">
        <v>1610</v>
      </c>
      <c r="W99">
        <v>0</v>
      </c>
    </row>
    <row r="100" spans="2:23">
      <c r="B100" s="5" t="str">
        <v>マルテー</v>
      </c>
      <c r="C100" t="str">
        <v>よつぼし</v>
      </c>
      <c r="D100">
        <v>100</v>
      </c>
      <c r="E100">
        <v>200</v>
      </c>
      <c r="F100">
        <v>1</v>
      </c>
      <c r="T100" t="str">
        <v>紅ほっぺ（無）</v>
      </c>
      <c r="U100">
        <v>1600</v>
      </c>
      <c r="V100">
        <v>1100</v>
      </c>
      <c r="W100">
        <v>5</v>
      </c>
    </row>
    <row r="101" spans="2:23">
      <c r="B101" s="5" t="str">
        <v>マルテー</v>
      </c>
      <c r="C101" t="str">
        <v>やよいひめ</v>
      </c>
      <c r="D101">
        <v>100</v>
      </c>
      <c r="E101">
        <v>200</v>
      </c>
      <c r="F101">
        <v>1</v>
      </c>
    </row>
    <row r="102" spans="2:23">
      <c r="B102" s="5" t="str">
        <v>マルテー</v>
      </c>
      <c r="C102" t="str">
        <v>無</v>
      </c>
      <c r="D102">
        <v>0</v>
      </c>
      <c r="E102">
        <v>1520</v>
      </c>
      <c r="F102">
        <v>0</v>
      </c>
    </row>
    <row r="103" spans="2:23">
      <c r="B103" s="5" t="str">
        <v>マルテー</v>
      </c>
      <c r="C103" t="str">
        <v>かおりの</v>
      </c>
      <c r="D103">
        <v>0</v>
      </c>
      <c r="E103">
        <v>260</v>
      </c>
      <c r="F103">
        <v>0</v>
      </c>
    </row>
    <row r="104" spans="2:23">
      <c r="B104" s="5" t="str">
        <v>マルテー</v>
      </c>
      <c r="C104" t="str">
        <v>よつぼし</v>
      </c>
      <c r="D104">
        <v>0</v>
      </c>
      <c r="E104">
        <v>620</v>
      </c>
      <c r="F104">
        <v>0</v>
      </c>
    </row>
    <row r="105" spans="2:23">
      <c r="B105" s="5" t="str">
        <v>マルテー</v>
      </c>
      <c r="C105" t="str">
        <v>やよいひめ</v>
      </c>
      <c r="D105">
        <v>0</v>
      </c>
      <c r="E105">
        <v>800</v>
      </c>
      <c r="F105">
        <v>0</v>
      </c>
    </row>
    <row r="106" spans="2:23">
      <c r="B106" s="5" t="str">
        <v>マルテー</v>
      </c>
      <c r="C106" t="str">
        <v>無</v>
      </c>
      <c r="D106">
        <v>0</v>
      </c>
      <c r="E106">
        <v>1940</v>
      </c>
      <c r="F106">
        <v>0</v>
      </c>
    </row>
    <row r="107" spans="2:23">
      <c r="B107" s="5" t="str">
        <v>マルテー</v>
      </c>
      <c r="C107" t="str">
        <v>かおりの</v>
      </c>
      <c r="D107">
        <v>0</v>
      </c>
      <c r="E107">
        <v>420</v>
      </c>
      <c r="F107">
        <v>0</v>
      </c>
    </row>
    <row r="108" spans="2:23">
      <c r="B108" s="5" t="str">
        <v>マルテー</v>
      </c>
      <c r="C108" t="str">
        <v>よつぼし</v>
      </c>
      <c r="D108">
        <v>0</v>
      </c>
      <c r="E108">
        <v>460</v>
      </c>
      <c r="F108">
        <v>0</v>
      </c>
    </row>
    <row r="109" spans="2:23">
      <c r="B109" s="5" t="str">
        <v>マルテー</v>
      </c>
      <c r="C109" t="str">
        <v>やよいひめ</v>
      </c>
      <c r="D109">
        <v>0</v>
      </c>
      <c r="E109">
        <v>540</v>
      </c>
      <c r="F109">
        <v>0</v>
      </c>
    </row>
    <row r="110" spans="2:23">
      <c r="B110" s="5" t="str">
        <v>マルテー</v>
      </c>
      <c r="C110" t="str">
        <v>無</v>
      </c>
      <c r="D110">
        <v>880</v>
      </c>
      <c r="E110">
        <v>0</v>
      </c>
      <c r="F110">
        <v>0</v>
      </c>
    </row>
    <row r="111" spans="2:23">
      <c r="B111" s="5" t="str">
        <v>マルテー</v>
      </c>
      <c r="C111" t="str">
        <v>かおりの</v>
      </c>
      <c r="D111">
        <v>80</v>
      </c>
      <c r="E111">
        <v>0</v>
      </c>
      <c r="F111">
        <v>0</v>
      </c>
    </row>
    <row r="112" spans="2:23">
      <c r="B112" s="5" t="str">
        <v>マルテー</v>
      </c>
      <c r="C112" t="str">
        <v>よつぼし</v>
      </c>
      <c r="D112">
        <v>60</v>
      </c>
      <c r="E112">
        <v>0</v>
      </c>
      <c r="F112">
        <v>0</v>
      </c>
    </row>
    <row r="113" spans="2:20">
      <c r="B113" s="5" t="str">
        <v>マルテー</v>
      </c>
      <c r="C113" t="str">
        <v>やよいひめ</v>
      </c>
      <c r="D113">
        <v>80</v>
      </c>
      <c r="E113">
        <v>0</v>
      </c>
      <c r="F113">
        <v>0</v>
      </c>
    </row>
    <row r="115" spans="2:20">
      <c r="B115" t="str" cm="1">
        <f t="array" ref="B115:E132">_xlfn._xlws.FILTER(C3:F113,C3:C113="やよいひめ")</f>
        <v>やよいひめ</v>
      </c>
      <c r="C115">
        <v>180</v>
      </c>
      <c r="D115">
        <v>60</v>
      </c>
      <c r="E115">
        <v>1</v>
      </c>
      <c r="G115" t="str" cm="1">
        <f t="array" ref="G115:J140">_xlfn._xlws.FILTER(C3:F113,C3:C113="よつぼし")</f>
        <v>よつぼし</v>
      </c>
      <c r="H115">
        <v>46</v>
      </c>
      <c r="I115">
        <v>0</v>
      </c>
      <c r="J115">
        <v>0</v>
      </c>
      <c r="L115" t="str" cm="1">
        <f t="array" ref="L115:O140">_xlfn._xlws.FILTER(C3:F113,(ISNUMBER(SEARCH("かおり",C3:C113))))</f>
        <v>かおり野</v>
      </c>
      <c r="M115">
        <v>120</v>
      </c>
      <c r="N115">
        <v>0</v>
      </c>
      <c r="O115">
        <v>0</v>
      </c>
      <c r="Q115" t="str" cm="1">
        <f t="array" ref="Q115:T152">_xlfn._xlws.FILTER(C3:F113, (ISNUMBER(SEARCH("無", C3:C113))) + (ISNUMBER(SEARCH("紅", C3:C113))) )</f>
        <v>紅ほっぺ（断）</v>
      </c>
      <c r="R115">
        <v>100</v>
      </c>
      <c r="S115">
        <v>0</v>
      </c>
      <c r="T115">
        <v>0</v>
      </c>
    </row>
    <row r="116" spans="2:20">
      <c r="B116" t="str">
        <v>やよいひめ</v>
      </c>
      <c r="C116">
        <v>120</v>
      </c>
      <c r="D116">
        <v>60</v>
      </c>
      <c r="E116">
        <v>1</v>
      </c>
      <c r="G116" t="str">
        <v>よつぼし</v>
      </c>
      <c r="H116">
        <v>240</v>
      </c>
      <c r="I116">
        <v>0</v>
      </c>
      <c r="J116">
        <v>0</v>
      </c>
      <c r="L116" t="str">
        <v>かおり野</v>
      </c>
      <c r="M116">
        <v>240</v>
      </c>
      <c r="N116">
        <v>0</v>
      </c>
      <c r="O116">
        <v>0</v>
      </c>
      <c r="Q116" t="str">
        <v>紅ほっぺ（断）</v>
      </c>
      <c r="R116">
        <v>130</v>
      </c>
      <c r="S116">
        <v>0</v>
      </c>
      <c r="T116">
        <v>0</v>
      </c>
    </row>
    <row r="117" spans="2:20">
      <c r="B117" t="str">
        <v>やよいひめ</v>
      </c>
      <c r="C117">
        <v>0</v>
      </c>
      <c r="D117">
        <v>0</v>
      </c>
      <c r="E117">
        <v>0</v>
      </c>
      <c r="G117" t="str">
        <v>よつぼし</v>
      </c>
      <c r="H117">
        <v>220</v>
      </c>
      <c r="I117">
        <v>0</v>
      </c>
      <c r="J117">
        <v>0</v>
      </c>
      <c r="L117" t="str">
        <v>かおり野</v>
      </c>
      <c r="M117">
        <v>480</v>
      </c>
      <c r="N117">
        <v>0</v>
      </c>
      <c r="O117">
        <v>0</v>
      </c>
      <c r="Q117" t="str">
        <v>紅ほっぺ（断）</v>
      </c>
      <c r="R117">
        <v>100</v>
      </c>
      <c r="S117">
        <v>0</v>
      </c>
      <c r="T117">
        <v>0</v>
      </c>
    </row>
    <row r="118" spans="2:20">
      <c r="B118" t="str">
        <v>やよいひめ</v>
      </c>
      <c r="C118">
        <v>0</v>
      </c>
      <c r="D118">
        <v>0</v>
      </c>
      <c r="E118">
        <v>0</v>
      </c>
      <c r="G118" t="str">
        <v>よつぼし</v>
      </c>
      <c r="H118">
        <v>500</v>
      </c>
      <c r="I118">
        <v>0</v>
      </c>
      <c r="J118">
        <v>0</v>
      </c>
      <c r="L118" t="str">
        <v>かおり野</v>
      </c>
      <c r="M118">
        <v>300</v>
      </c>
      <c r="N118">
        <v>0</v>
      </c>
      <c r="O118">
        <v>0</v>
      </c>
      <c r="Q118" t="str">
        <v>紅ほっぺ（断）</v>
      </c>
      <c r="R118">
        <v>320</v>
      </c>
      <c r="S118">
        <v>0</v>
      </c>
      <c r="T118">
        <v>3</v>
      </c>
    </row>
    <row r="119" spans="2:20">
      <c r="B119" t="str">
        <v>やよいひめ</v>
      </c>
      <c r="C119">
        <v>0</v>
      </c>
      <c r="D119">
        <v>0</v>
      </c>
      <c r="E119">
        <v>0</v>
      </c>
      <c r="G119" t="str">
        <v>よつぼし</v>
      </c>
      <c r="H119">
        <v>880</v>
      </c>
      <c r="I119">
        <v>0</v>
      </c>
      <c r="J119">
        <v>6</v>
      </c>
      <c r="L119" t="str">
        <v>かおり野</v>
      </c>
      <c r="M119">
        <v>220</v>
      </c>
      <c r="N119">
        <v>0</v>
      </c>
      <c r="O119">
        <v>1</v>
      </c>
      <c r="Q119" t="str">
        <v>紅ほっぺ（断）</v>
      </c>
      <c r="R119">
        <v>260</v>
      </c>
      <c r="S119">
        <v>0</v>
      </c>
      <c r="T119">
        <v>0</v>
      </c>
    </row>
    <row r="120" spans="2:20">
      <c r="B120" t="str">
        <v>やよいひめ</v>
      </c>
      <c r="C120">
        <v>160</v>
      </c>
      <c r="D120">
        <v>0</v>
      </c>
      <c r="E120">
        <v>1</v>
      </c>
      <c r="G120" t="str">
        <v>よつぼし</v>
      </c>
      <c r="H120">
        <v>500</v>
      </c>
      <c r="I120">
        <v>0</v>
      </c>
      <c r="J120">
        <v>2</v>
      </c>
      <c r="L120" t="str">
        <v>かおり野</v>
      </c>
      <c r="M120">
        <v>520</v>
      </c>
      <c r="N120">
        <v>0</v>
      </c>
      <c r="O120">
        <v>2</v>
      </c>
      <c r="Q120" t="str">
        <v>紅ほっぺ（断）</v>
      </c>
      <c r="R120">
        <v>320</v>
      </c>
      <c r="S120">
        <v>0</v>
      </c>
      <c r="T120">
        <v>0</v>
      </c>
    </row>
    <row r="121" spans="2:20">
      <c r="B121" t="str">
        <v>やよいひめ</v>
      </c>
      <c r="C121">
        <v>0</v>
      </c>
      <c r="D121">
        <v>220</v>
      </c>
      <c r="E121">
        <v>0</v>
      </c>
      <c r="G121" t="str">
        <v>よつぼし</v>
      </c>
      <c r="H121">
        <v>210</v>
      </c>
      <c r="I121">
        <v>330</v>
      </c>
      <c r="J121">
        <v>2</v>
      </c>
      <c r="L121" t="str">
        <v>かおり野</v>
      </c>
      <c r="M121">
        <v>128</v>
      </c>
      <c r="N121">
        <v>282</v>
      </c>
      <c r="O121">
        <v>1</v>
      </c>
      <c r="Q121" t="str">
        <v>紅ほっぺ（断）</v>
      </c>
      <c r="R121">
        <v>200</v>
      </c>
      <c r="S121">
        <v>0</v>
      </c>
      <c r="T121">
        <v>0</v>
      </c>
    </row>
    <row r="122" spans="2:20">
      <c r="B122" t="str">
        <v>やよいひめ</v>
      </c>
      <c r="C122">
        <v>120</v>
      </c>
      <c r="D122">
        <v>440</v>
      </c>
      <c r="E122">
        <v>1</v>
      </c>
      <c r="G122" t="str">
        <v>よつぼし</v>
      </c>
      <c r="H122">
        <v>220</v>
      </c>
      <c r="I122">
        <v>120</v>
      </c>
      <c r="J122">
        <v>1</v>
      </c>
      <c r="L122" t="str">
        <v>かおり野</v>
      </c>
      <c r="M122">
        <v>300</v>
      </c>
      <c r="N122">
        <v>90</v>
      </c>
      <c r="O122">
        <v>2</v>
      </c>
      <c r="Q122" t="str">
        <v>紅ほっぺ（断）</v>
      </c>
      <c r="R122">
        <v>260</v>
      </c>
      <c r="S122">
        <v>0</v>
      </c>
      <c r="T122">
        <v>0</v>
      </c>
    </row>
    <row r="123" spans="2:20">
      <c r="B123" t="str">
        <v>やよいひめ</v>
      </c>
      <c r="C123">
        <v>0</v>
      </c>
      <c r="D123">
        <v>80</v>
      </c>
      <c r="E123">
        <v>0</v>
      </c>
      <c r="G123" t="str">
        <v>よつぼし</v>
      </c>
      <c r="H123">
        <v>260</v>
      </c>
      <c r="I123">
        <v>60</v>
      </c>
      <c r="J123">
        <v>1</v>
      </c>
      <c r="L123" t="str">
        <v>かおり野</v>
      </c>
      <c r="M123">
        <v>260</v>
      </c>
      <c r="N123">
        <v>40</v>
      </c>
      <c r="O123">
        <v>2</v>
      </c>
      <c r="Q123" t="str">
        <v>紅ほっぺ（断）</v>
      </c>
      <c r="R123">
        <v>120</v>
      </c>
      <c r="S123">
        <v>0</v>
      </c>
      <c r="T123">
        <v>0</v>
      </c>
    </row>
    <row r="124" spans="2:20">
      <c r="B124" t="str">
        <v>やよいひめ</v>
      </c>
      <c r="C124">
        <v>120</v>
      </c>
      <c r="D124">
        <v>220</v>
      </c>
      <c r="E124">
        <v>1</v>
      </c>
      <c r="G124" t="str">
        <v>よつぼし</v>
      </c>
      <c r="H124">
        <v>0</v>
      </c>
      <c r="I124">
        <v>0</v>
      </c>
      <c r="J124">
        <v>0</v>
      </c>
      <c r="L124" t="str">
        <v>かおり野</v>
      </c>
      <c r="M124">
        <v>139</v>
      </c>
      <c r="N124">
        <v>220</v>
      </c>
      <c r="O124">
        <v>0</v>
      </c>
      <c r="Q124" t="str">
        <v>紅ほっぺ（断）</v>
      </c>
      <c r="R124">
        <v>120</v>
      </c>
      <c r="S124">
        <v>0</v>
      </c>
      <c r="T124">
        <v>0</v>
      </c>
    </row>
    <row r="125" spans="2:20">
      <c r="B125" t="str">
        <v>やよいひめ</v>
      </c>
      <c r="C125">
        <v>410</v>
      </c>
      <c r="D125">
        <v>630</v>
      </c>
      <c r="E125">
        <v>4</v>
      </c>
      <c r="G125" t="str">
        <v>よつぼし</v>
      </c>
      <c r="H125">
        <v>200</v>
      </c>
      <c r="I125">
        <v>166</v>
      </c>
      <c r="J125">
        <v>1</v>
      </c>
      <c r="L125" t="str">
        <v>かおり野</v>
      </c>
      <c r="M125">
        <v>140</v>
      </c>
      <c r="N125">
        <v>269</v>
      </c>
      <c r="O125">
        <v>1</v>
      </c>
      <c r="Q125" t="str">
        <v>紅ほっぺ（断）</v>
      </c>
      <c r="R125">
        <v>1120</v>
      </c>
      <c r="S125">
        <v>0</v>
      </c>
      <c r="T125">
        <v>10</v>
      </c>
    </row>
    <row r="126" spans="2:20">
      <c r="B126" t="str">
        <v>やよいひめ</v>
      </c>
      <c r="C126">
        <v>940</v>
      </c>
      <c r="D126">
        <v>580</v>
      </c>
      <c r="E126">
        <v>9</v>
      </c>
      <c r="G126" t="str">
        <v>よつぼし</v>
      </c>
      <c r="H126">
        <v>300</v>
      </c>
      <c r="I126">
        <v>0</v>
      </c>
      <c r="J126">
        <v>3</v>
      </c>
      <c r="L126" t="str">
        <v>かおり野</v>
      </c>
      <c r="M126">
        <v>340</v>
      </c>
      <c r="N126">
        <v>1840</v>
      </c>
      <c r="O126">
        <v>1</v>
      </c>
      <c r="Q126" t="str">
        <v>紅ほっぺ（断）</v>
      </c>
      <c r="R126">
        <v>2300</v>
      </c>
      <c r="S126">
        <v>0</v>
      </c>
      <c r="T126">
        <v>21</v>
      </c>
    </row>
    <row r="127" spans="2:20">
      <c r="B127" t="str">
        <v>やよいひめ</v>
      </c>
      <c r="C127">
        <v>900</v>
      </c>
      <c r="D127">
        <v>780</v>
      </c>
      <c r="E127">
        <v>6</v>
      </c>
      <c r="G127" t="str">
        <v>よつぼし</v>
      </c>
      <c r="H127">
        <v>360</v>
      </c>
      <c r="I127">
        <v>3190</v>
      </c>
      <c r="J127">
        <v>0</v>
      </c>
      <c r="L127" t="str">
        <v>かおり野</v>
      </c>
      <c r="M127">
        <v>340</v>
      </c>
      <c r="N127">
        <v>2200</v>
      </c>
      <c r="O127">
        <v>2</v>
      </c>
      <c r="Q127" t="str">
        <v>紅ほっぺ（無）</v>
      </c>
      <c r="R127">
        <v>1840</v>
      </c>
      <c r="S127">
        <v>0</v>
      </c>
      <c r="T127">
        <v>17</v>
      </c>
    </row>
    <row r="128" spans="2:20">
      <c r="B128" t="str">
        <v>やよいひめ</v>
      </c>
      <c r="C128">
        <v>340</v>
      </c>
      <c r="D128">
        <v>220</v>
      </c>
      <c r="E128">
        <v>3</v>
      </c>
      <c r="G128" t="str">
        <v>よつぼし</v>
      </c>
      <c r="H128">
        <v>0</v>
      </c>
      <c r="I128">
        <v>720</v>
      </c>
      <c r="J128">
        <v>0</v>
      </c>
      <c r="L128" t="str">
        <v>かおりの</v>
      </c>
      <c r="M128">
        <v>340</v>
      </c>
      <c r="N128">
        <v>0</v>
      </c>
      <c r="O128">
        <v>2</v>
      </c>
      <c r="Q128" t="str">
        <v>紅ほっぺ（無）</v>
      </c>
      <c r="R128">
        <v>2840</v>
      </c>
      <c r="S128">
        <v>1020</v>
      </c>
      <c r="T128">
        <v>26</v>
      </c>
    </row>
    <row r="129" spans="2:20">
      <c r="B129" t="str">
        <v>やよいひめ</v>
      </c>
      <c r="C129">
        <v>100</v>
      </c>
      <c r="D129">
        <v>200</v>
      </c>
      <c r="E129">
        <v>1</v>
      </c>
      <c r="G129" t="str">
        <v>よつぼし</v>
      </c>
      <c r="H129">
        <v>0</v>
      </c>
      <c r="I129">
        <v>300</v>
      </c>
      <c r="J129">
        <v>0</v>
      </c>
      <c r="L129" t="str">
        <v>かおり野</v>
      </c>
      <c r="M129">
        <v>0</v>
      </c>
      <c r="N129">
        <v>360</v>
      </c>
      <c r="O129">
        <v>0</v>
      </c>
      <c r="Q129" t="str">
        <v>紅ほっぺ（無）</v>
      </c>
      <c r="R129">
        <v>2740</v>
      </c>
      <c r="S129">
        <v>470</v>
      </c>
      <c r="T129">
        <v>22</v>
      </c>
    </row>
    <row r="130" spans="2:20">
      <c r="B130" t="str">
        <v>やよいひめ</v>
      </c>
      <c r="C130">
        <v>0</v>
      </c>
      <c r="D130">
        <v>800</v>
      </c>
      <c r="E130">
        <v>0</v>
      </c>
      <c r="G130" t="str">
        <v>よつぼし</v>
      </c>
      <c r="H130">
        <v>0</v>
      </c>
      <c r="I130">
        <v>440</v>
      </c>
      <c r="J130">
        <v>0</v>
      </c>
      <c r="L130" t="str">
        <v>かおり野</v>
      </c>
      <c r="M130">
        <v>270</v>
      </c>
      <c r="N130">
        <v>270</v>
      </c>
      <c r="O130">
        <v>2</v>
      </c>
      <c r="Q130" t="str">
        <v>紅ほっぺ（無）</v>
      </c>
      <c r="R130">
        <v>2160</v>
      </c>
      <c r="S130">
        <v>500</v>
      </c>
      <c r="T130">
        <v>15</v>
      </c>
    </row>
    <row r="131" spans="2:20">
      <c r="B131" t="str">
        <v>やよいひめ</v>
      </c>
      <c r="C131">
        <v>0</v>
      </c>
      <c r="D131">
        <v>540</v>
      </c>
      <c r="E131">
        <v>0</v>
      </c>
      <c r="G131" t="str">
        <v>よつぼし</v>
      </c>
      <c r="H131">
        <v>100</v>
      </c>
      <c r="I131">
        <v>100</v>
      </c>
      <c r="J131">
        <v>1</v>
      </c>
      <c r="L131" t="str">
        <v>かおり野</v>
      </c>
      <c r="M131">
        <v>0</v>
      </c>
      <c r="N131">
        <v>100</v>
      </c>
      <c r="O131">
        <v>0</v>
      </c>
      <c r="Q131" t="str">
        <v>紅ほっぺ（無）</v>
      </c>
      <c r="R131">
        <v>1468</v>
      </c>
      <c r="S131">
        <v>332</v>
      </c>
      <c r="T131">
        <v>12</v>
      </c>
    </row>
    <row r="132" spans="2:20">
      <c r="B132" t="str">
        <v>やよいひめ</v>
      </c>
      <c r="C132">
        <v>80</v>
      </c>
      <c r="D132">
        <v>0</v>
      </c>
      <c r="E132">
        <v>0</v>
      </c>
      <c r="G132" t="str">
        <v>よつぼし</v>
      </c>
      <c r="H132">
        <v>320</v>
      </c>
      <c r="I132">
        <v>160</v>
      </c>
      <c r="J132">
        <v>3</v>
      </c>
      <c r="L132" t="str">
        <v>かおり野</v>
      </c>
      <c r="M132">
        <v>110</v>
      </c>
      <c r="N132">
        <v>150</v>
      </c>
      <c r="O132">
        <v>1</v>
      </c>
      <c r="Q132" t="str">
        <v>紅ほっぺ（無）</v>
      </c>
      <c r="R132">
        <v>3480</v>
      </c>
      <c r="S132">
        <v>460</v>
      </c>
      <c r="T132">
        <v>32</v>
      </c>
    </row>
    <row r="133" spans="2:20">
      <c r="G133" t="str">
        <v>よつぼし</v>
      </c>
      <c r="H133">
        <v>320</v>
      </c>
      <c r="I133">
        <v>590</v>
      </c>
      <c r="J133">
        <v>3</v>
      </c>
      <c r="L133" t="str">
        <v>かおり野</v>
      </c>
      <c r="M133">
        <v>330</v>
      </c>
      <c r="N133">
        <v>290</v>
      </c>
      <c r="O133">
        <v>3</v>
      </c>
      <c r="Q133" t="str">
        <v>紅ほっぺ（無）</v>
      </c>
      <c r="R133">
        <v>1835</v>
      </c>
      <c r="S133">
        <v>745</v>
      </c>
      <c r="T133">
        <v>18</v>
      </c>
    </row>
    <row r="134" spans="2:20">
      <c r="B134" t="str" cm="1">
        <f t="array" ref="B134:F171">_xlfn._xlws.FILTER(B3:F113, (ISNUMBER(SEARCH("無",C3:C113))) + (ISNUMBER(SEARCH("断",C3:C113))) )</f>
        <v>マルテー</v>
      </c>
      <c r="C134" t="str">
        <v>紅ほっぺ（断）</v>
      </c>
      <c r="D134">
        <v>100</v>
      </c>
      <c r="E134">
        <v>0</v>
      </c>
      <c r="F134">
        <v>0</v>
      </c>
      <c r="G134" t="str">
        <v>よつぼし</v>
      </c>
      <c r="H134">
        <v>320</v>
      </c>
      <c r="I134">
        <v>700</v>
      </c>
      <c r="J134">
        <v>3</v>
      </c>
      <c r="L134" t="str">
        <v>かおり野</v>
      </c>
      <c r="M134">
        <v>320</v>
      </c>
      <c r="N134">
        <v>240</v>
      </c>
      <c r="O134">
        <v>3</v>
      </c>
      <c r="Q134" t="str">
        <v>紅ほっぺ（無）</v>
      </c>
      <c r="R134">
        <v>2321</v>
      </c>
      <c r="S134">
        <v>121</v>
      </c>
      <c r="T134">
        <v>1</v>
      </c>
    </row>
    <row r="135" spans="2:20">
      <c r="B135" t="str">
        <v>マルテー</v>
      </c>
      <c r="C135" t="str">
        <v>紅ほっぺ（断）</v>
      </c>
      <c r="D135">
        <v>130</v>
      </c>
      <c r="E135">
        <v>0</v>
      </c>
      <c r="F135">
        <v>0</v>
      </c>
      <c r="G135" t="str">
        <v>よつぼし</v>
      </c>
      <c r="H135">
        <v>140</v>
      </c>
      <c r="I135">
        <v>600</v>
      </c>
      <c r="J135">
        <v>6</v>
      </c>
      <c r="L135" t="str">
        <v>かおりの</v>
      </c>
      <c r="M135">
        <v>100</v>
      </c>
      <c r="N135">
        <v>80</v>
      </c>
      <c r="O135">
        <v>1</v>
      </c>
      <c r="Q135" t="str">
        <v>紅ほっぺ（無）</v>
      </c>
      <c r="R135">
        <v>2280</v>
      </c>
      <c r="S135">
        <v>1135</v>
      </c>
      <c r="T135">
        <v>17</v>
      </c>
    </row>
    <row r="136" spans="2:20">
      <c r="B136" t="str">
        <v>マルテー</v>
      </c>
      <c r="C136" t="str">
        <v>紅ほっぺ（断）</v>
      </c>
      <c r="D136">
        <v>100</v>
      </c>
      <c r="E136">
        <v>0</v>
      </c>
      <c r="F136">
        <v>0</v>
      </c>
      <c r="G136" t="str">
        <v>よつぼし</v>
      </c>
      <c r="H136">
        <v>120</v>
      </c>
      <c r="I136">
        <v>200</v>
      </c>
      <c r="J136">
        <v>1</v>
      </c>
      <c r="L136" t="str">
        <v>かおりの</v>
      </c>
      <c r="M136">
        <v>140</v>
      </c>
      <c r="N136">
        <v>160</v>
      </c>
      <c r="O136">
        <v>1</v>
      </c>
      <c r="Q136" t="str">
        <v>紅ほっぺ（無）</v>
      </c>
      <c r="R136">
        <v>1920</v>
      </c>
      <c r="S136">
        <v>1230</v>
      </c>
      <c r="T136">
        <v>13</v>
      </c>
    </row>
    <row r="137" spans="2:20">
      <c r="B137" t="str">
        <v>マルテー</v>
      </c>
      <c r="C137" t="str">
        <v>紅ほっぺ（断）</v>
      </c>
      <c r="D137">
        <v>320</v>
      </c>
      <c r="E137">
        <v>0</v>
      </c>
      <c r="F137">
        <v>3</v>
      </c>
      <c r="G137" t="str">
        <v>よつぼし</v>
      </c>
      <c r="H137">
        <v>100</v>
      </c>
      <c r="I137">
        <v>200</v>
      </c>
      <c r="J137">
        <v>1</v>
      </c>
      <c r="L137" t="str">
        <v>かおり野</v>
      </c>
      <c r="M137">
        <v>0</v>
      </c>
      <c r="N137">
        <v>500</v>
      </c>
      <c r="O137">
        <v>0</v>
      </c>
      <c r="Q137" t="str">
        <v>紅ほっぺ（無）</v>
      </c>
      <c r="R137">
        <v>5460</v>
      </c>
      <c r="S137">
        <v>500</v>
      </c>
      <c r="T137">
        <v>20</v>
      </c>
    </row>
    <row r="138" spans="2:20">
      <c r="B138" t="str">
        <v>マルテー</v>
      </c>
      <c r="C138" t="str">
        <v>紅ほっぺ（断）</v>
      </c>
      <c r="D138">
        <v>260</v>
      </c>
      <c r="E138">
        <v>0</v>
      </c>
      <c r="F138">
        <v>0</v>
      </c>
      <c r="G138" t="str">
        <v>よつぼし</v>
      </c>
      <c r="H138">
        <v>0</v>
      </c>
      <c r="I138">
        <v>620</v>
      </c>
      <c r="J138">
        <v>0</v>
      </c>
      <c r="L138" t="str">
        <v>かおりの</v>
      </c>
      <c r="M138">
        <v>0</v>
      </c>
      <c r="N138">
        <v>260</v>
      </c>
      <c r="O138">
        <v>0</v>
      </c>
      <c r="Q138" t="str">
        <v>紅ほっぺ（無）</v>
      </c>
      <c r="R138">
        <v>0</v>
      </c>
      <c r="S138">
        <v>0</v>
      </c>
      <c r="T138">
        <v>0</v>
      </c>
    </row>
    <row r="139" spans="2:20">
      <c r="B139" t="str">
        <v>マルテー</v>
      </c>
      <c r="C139" t="str">
        <v>紅ほっぺ（断）</v>
      </c>
      <c r="D139">
        <v>320</v>
      </c>
      <c r="E139">
        <v>0</v>
      </c>
      <c r="F139">
        <v>0</v>
      </c>
      <c r="G139" t="str">
        <v>よつぼし</v>
      </c>
      <c r="H139">
        <v>0</v>
      </c>
      <c r="I139">
        <v>460</v>
      </c>
      <c r="J139">
        <v>0</v>
      </c>
      <c r="L139" t="str">
        <v>かおりの</v>
      </c>
      <c r="M139">
        <v>0</v>
      </c>
      <c r="N139">
        <v>420</v>
      </c>
      <c r="O139">
        <v>0</v>
      </c>
      <c r="Q139" t="str">
        <v>紅ほっぺ（無）</v>
      </c>
      <c r="R139">
        <v>580</v>
      </c>
      <c r="S139">
        <v>1480</v>
      </c>
      <c r="T139">
        <v>10</v>
      </c>
    </row>
    <row r="140" spans="2:20">
      <c r="B140" t="str">
        <v>マルテー</v>
      </c>
      <c r="C140" t="str">
        <v>紅ほっぺ（断）</v>
      </c>
      <c r="D140">
        <v>200</v>
      </c>
      <c r="E140">
        <v>0</v>
      </c>
      <c r="F140">
        <v>0</v>
      </c>
      <c r="G140" t="str">
        <v>よつぼし</v>
      </c>
      <c r="H140">
        <v>60</v>
      </c>
      <c r="I140">
        <v>0</v>
      </c>
      <c r="J140">
        <v>0</v>
      </c>
      <c r="L140" t="str">
        <v>かおりの</v>
      </c>
      <c r="M140">
        <v>80</v>
      </c>
      <c r="N140">
        <v>0</v>
      </c>
      <c r="O140">
        <v>0</v>
      </c>
      <c r="Q140" t="str">
        <v>紅ほっぺ（無）</v>
      </c>
      <c r="R140">
        <v>4620</v>
      </c>
      <c r="S140">
        <v>0</v>
      </c>
      <c r="T140">
        <v>30</v>
      </c>
    </row>
    <row r="141" spans="2:20">
      <c r="B141" t="str">
        <v>マルテー</v>
      </c>
      <c r="C141" t="str">
        <v>紅ほっぺ（断）</v>
      </c>
      <c r="D141">
        <v>260</v>
      </c>
      <c r="E141">
        <v>0</v>
      </c>
      <c r="F141">
        <v>0</v>
      </c>
      <c r="Q141" t="str">
        <v>無</v>
      </c>
      <c r="R141">
        <v>2420</v>
      </c>
      <c r="S141">
        <v>4140</v>
      </c>
      <c r="T141">
        <v>17</v>
      </c>
    </row>
    <row r="142" spans="2:20">
      <c r="B142" t="str">
        <v>マルテー</v>
      </c>
      <c r="C142" t="str">
        <v>紅ほっぺ（断）</v>
      </c>
      <c r="D142">
        <v>120</v>
      </c>
      <c r="E142">
        <v>0</v>
      </c>
      <c r="F142">
        <v>0</v>
      </c>
      <c r="Q142" t="str">
        <v>無</v>
      </c>
      <c r="R142">
        <v>1700</v>
      </c>
      <c r="S142">
        <v>2540</v>
      </c>
      <c r="T142">
        <v>15</v>
      </c>
    </row>
    <row r="143" spans="2:20">
      <c r="B143" t="str">
        <v>マルテー</v>
      </c>
      <c r="C143" t="str">
        <v>紅ほっぺ（断）</v>
      </c>
      <c r="D143">
        <v>120</v>
      </c>
      <c r="E143">
        <v>0</v>
      </c>
      <c r="F143">
        <v>0</v>
      </c>
      <c r="Q143" t="str">
        <v>無</v>
      </c>
      <c r="R143">
        <v>980</v>
      </c>
      <c r="S143">
        <v>3180</v>
      </c>
      <c r="T143">
        <v>9</v>
      </c>
    </row>
    <row r="144" spans="2:20">
      <c r="B144" t="str">
        <v>マルテー</v>
      </c>
      <c r="C144" t="str">
        <v>紅ほっぺ（断）</v>
      </c>
      <c r="D144">
        <v>1120</v>
      </c>
      <c r="E144">
        <v>0</v>
      </c>
      <c r="F144">
        <v>10</v>
      </c>
      <c r="Q144" t="str">
        <v>無</v>
      </c>
      <c r="R144">
        <v>530</v>
      </c>
      <c r="S144">
        <v>1110</v>
      </c>
      <c r="T144">
        <v>5</v>
      </c>
    </row>
    <row r="145" spans="2:20">
      <c r="B145" t="str">
        <v>マルテー</v>
      </c>
      <c r="C145" t="str">
        <v>紅ほっぺ（断）</v>
      </c>
      <c r="D145">
        <v>2300</v>
      </c>
      <c r="E145">
        <v>0</v>
      </c>
      <c r="F145">
        <v>21</v>
      </c>
      <c r="Q145" t="str">
        <v>無</v>
      </c>
      <c r="R145">
        <v>420</v>
      </c>
      <c r="S145">
        <v>1820</v>
      </c>
      <c r="T145">
        <v>4</v>
      </c>
    </row>
    <row r="146" spans="2:20">
      <c r="B146" t="str">
        <v>マルテー</v>
      </c>
      <c r="C146" t="str">
        <v>紅ほっぺ（無）</v>
      </c>
      <c r="D146">
        <v>1840</v>
      </c>
      <c r="E146">
        <v>0</v>
      </c>
      <c r="F146">
        <v>17</v>
      </c>
      <c r="Q146" t="str">
        <v>無</v>
      </c>
      <c r="R146">
        <v>790</v>
      </c>
      <c r="S146">
        <v>1690</v>
      </c>
      <c r="T146">
        <v>8</v>
      </c>
    </row>
    <row r="147" spans="2:20">
      <c r="B147" t="str">
        <v>マルテー</v>
      </c>
      <c r="C147" t="str">
        <v>紅ほっぺ（無）</v>
      </c>
      <c r="D147">
        <v>2840</v>
      </c>
      <c r="E147">
        <v>1020</v>
      </c>
      <c r="F147">
        <v>26</v>
      </c>
      <c r="Q147" t="str">
        <v>無</v>
      </c>
      <c r="R147">
        <v>0</v>
      </c>
      <c r="S147">
        <v>1660</v>
      </c>
      <c r="T147">
        <v>0</v>
      </c>
    </row>
    <row r="148" spans="2:20">
      <c r="B148" t="str">
        <v>マルテー</v>
      </c>
      <c r="C148" t="str">
        <v>紅ほっぺ（無）</v>
      </c>
      <c r="D148">
        <v>2740</v>
      </c>
      <c r="E148">
        <v>470</v>
      </c>
      <c r="F148">
        <v>22</v>
      </c>
      <c r="Q148" t="str">
        <v>無</v>
      </c>
      <c r="R148">
        <v>100</v>
      </c>
      <c r="S148">
        <v>400</v>
      </c>
      <c r="T148">
        <v>1</v>
      </c>
    </row>
    <row r="149" spans="2:20">
      <c r="B149" t="str">
        <v>マルテー</v>
      </c>
      <c r="C149" t="str">
        <v>紅ほっぺ（無）</v>
      </c>
      <c r="D149">
        <v>2160</v>
      </c>
      <c r="E149">
        <v>500</v>
      </c>
      <c r="F149">
        <v>15</v>
      </c>
      <c r="Q149" t="str">
        <v>無</v>
      </c>
      <c r="R149">
        <v>0</v>
      </c>
      <c r="S149">
        <v>1240</v>
      </c>
      <c r="T149">
        <v>0</v>
      </c>
    </row>
    <row r="150" spans="2:20">
      <c r="B150" t="str">
        <v>マルテー</v>
      </c>
      <c r="C150" t="str">
        <v>紅ほっぺ（無）</v>
      </c>
      <c r="D150">
        <v>1468</v>
      </c>
      <c r="E150">
        <v>332</v>
      </c>
      <c r="F150">
        <v>12</v>
      </c>
      <c r="Q150" t="str">
        <v>無</v>
      </c>
      <c r="R150">
        <v>0</v>
      </c>
      <c r="S150">
        <v>1520</v>
      </c>
      <c r="T150">
        <v>0</v>
      </c>
    </row>
    <row r="151" spans="2:20">
      <c r="B151" t="str">
        <v>マルテー</v>
      </c>
      <c r="C151" t="str">
        <v>紅ほっぺ（無）</v>
      </c>
      <c r="D151">
        <v>3480</v>
      </c>
      <c r="E151">
        <v>460</v>
      </c>
      <c r="F151">
        <v>32</v>
      </c>
      <c r="Q151" t="str">
        <v>無</v>
      </c>
      <c r="R151">
        <v>0</v>
      </c>
      <c r="S151">
        <v>1940</v>
      </c>
      <c r="T151">
        <v>0</v>
      </c>
    </row>
    <row r="152" spans="2:20">
      <c r="B152" t="str">
        <v>マルテー</v>
      </c>
      <c r="C152" t="str">
        <v>紅ほっぺ（無）</v>
      </c>
      <c r="D152">
        <v>1835</v>
      </c>
      <c r="E152">
        <v>745</v>
      </c>
      <c r="F152">
        <v>18</v>
      </c>
      <c r="Q152" t="str">
        <v>無</v>
      </c>
      <c r="R152">
        <v>880</v>
      </c>
      <c r="S152">
        <v>0</v>
      </c>
      <c r="T152">
        <v>0</v>
      </c>
    </row>
    <row r="153" spans="2:20">
      <c r="B153" t="str">
        <v>マルテー</v>
      </c>
      <c r="C153" t="str">
        <v>紅ほっぺ（無）</v>
      </c>
      <c r="D153">
        <v>2321</v>
      </c>
      <c r="E153">
        <v>121</v>
      </c>
      <c r="F153">
        <v>1</v>
      </c>
    </row>
    <row r="154" spans="2:20">
      <c r="B154" t="str">
        <v>マルテー</v>
      </c>
      <c r="C154" t="str">
        <v>紅ほっぺ（無）</v>
      </c>
      <c r="D154">
        <v>2280</v>
      </c>
      <c r="E154">
        <v>1135</v>
      </c>
      <c r="F154">
        <v>17</v>
      </c>
    </row>
    <row r="155" spans="2:20">
      <c r="B155" t="str">
        <v>マルテー</v>
      </c>
      <c r="C155" t="str">
        <v>紅ほっぺ（無）</v>
      </c>
      <c r="D155">
        <v>1920</v>
      </c>
      <c r="E155">
        <v>1230</v>
      </c>
      <c r="F155">
        <v>13</v>
      </c>
    </row>
    <row r="156" spans="2:20">
      <c r="B156" t="str">
        <v>マルテー</v>
      </c>
      <c r="C156" t="str">
        <v>紅ほっぺ（無）</v>
      </c>
      <c r="D156">
        <v>5460</v>
      </c>
      <c r="E156">
        <v>500</v>
      </c>
      <c r="F156">
        <v>20</v>
      </c>
    </row>
    <row r="157" spans="2:20">
      <c r="B157" t="str">
        <v>マルテー</v>
      </c>
      <c r="C157" t="str">
        <v>紅ほっぺ（無）</v>
      </c>
      <c r="D157">
        <v>0</v>
      </c>
      <c r="E157">
        <v>0</v>
      </c>
      <c r="F157">
        <v>0</v>
      </c>
    </row>
    <row r="158" spans="2:20">
      <c r="B158" t="str">
        <v>マルテー</v>
      </c>
      <c r="C158" t="str">
        <v>紅ほっぺ（無）</v>
      </c>
      <c r="D158">
        <v>580</v>
      </c>
      <c r="E158">
        <v>1480</v>
      </c>
      <c r="F158">
        <v>10</v>
      </c>
    </row>
    <row r="159" spans="2:20">
      <c r="B159" t="str">
        <v>マルテー</v>
      </c>
      <c r="C159" t="str">
        <v>紅ほっぺ（無）</v>
      </c>
      <c r="D159">
        <v>4620</v>
      </c>
      <c r="E159">
        <v>0</v>
      </c>
      <c r="F159">
        <v>30</v>
      </c>
    </row>
    <row r="160" spans="2:20">
      <c r="B160" t="str">
        <v>マルテー</v>
      </c>
      <c r="C160" t="str">
        <v>無</v>
      </c>
      <c r="D160">
        <v>2420</v>
      </c>
      <c r="E160">
        <v>4140</v>
      </c>
      <c r="F160">
        <v>17</v>
      </c>
    </row>
    <row r="161" spans="2:6">
      <c r="B161" t="str">
        <v>マルテー</v>
      </c>
      <c r="C161" t="str">
        <v>無</v>
      </c>
      <c r="D161">
        <v>1700</v>
      </c>
      <c r="E161">
        <v>2540</v>
      </c>
      <c r="F161">
        <v>15</v>
      </c>
    </row>
    <row r="162" spans="2:6">
      <c r="B162" t="str">
        <v>マルテー</v>
      </c>
      <c r="C162" t="str">
        <v>無</v>
      </c>
      <c r="D162">
        <v>980</v>
      </c>
      <c r="E162">
        <v>3180</v>
      </c>
      <c r="F162">
        <v>9</v>
      </c>
    </row>
    <row r="163" spans="2:6">
      <c r="B163" t="str">
        <v>マルテー</v>
      </c>
      <c r="C163" t="str">
        <v>無</v>
      </c>
      <c r="D163">
        <v>530</v>
      </c>
      <c r="E163">
        <v>1110</v>
      </c>
      <c r="F163">
        <v>5</v>
      </c>
    </row>
    <row r="164" spans="2:6">
      <c r="B164" t="str">
        <v>マルテー</v>
      </c>
      <c r="C164" t="str">
        <v>無</v>
      </c>
      <c r="D164">
        <v>420</v>
      </c>
      <c r="E164">
        <v>1820</v>
      </c>
      <c r="F164">
        <v>4</v>
      </c>
    </row>
    <row r="165" spans="2:6">
      <c r="B165" t="str">
        <v>マルテー</v>
      </c>
      <c r="C165" t="str">
        <v>無</v>
      </c>
      <c r="D165">
        <v>790</v>
      </c>
      <c r="E165">
        <v>1690</v>
      </c>
      <c r="F165">
        <v>8</v>
      </c>
    </row>
    <row r="166" spans="2:6">
      <c r="B166" t="str">
        <v>マルテー</v>
      </c>
      <c r="C166" t="str">
        <v>無</v>
      </c>
      <c r="D166">
        <v>0</v>
      </c>
      <c r="E166">
        <v>1660</v>
      </c>
      <c r="F166">
        <v>0</v>
      </c>
    </row>
    <row r="167" spans="2:6">
      <c r="B167" t="str">
        <v>マルテー</v>
      </c>
      <c r="C167" t="str">
        <v>無</v>
      </c>
      <c r="D167">
        <v>100</v>
      </c>
      <c r="E167">
        <v>400</v>
      </c>
      <c r="F167">
        <v>1</v>
      </c>
    </row>
    <row r="168" spans="2:6">
      <c r="B168" t="str">
        <v>マルテー</v>
      </c>
      <c r="C168" t="str">
        <v>無</v>
      </c>
      <c r="D168">
        <v>0</v>
      </c>
      <c r="E168">
        <v>1240</v>
      </c>
      <c r="F168">
        <v>0</v>
      </c>
    </row>
    <row r="169" spans="2:6">
      <c r="B169" t="str">
        <v>マルテー</v>
      </c>
      <c r="C169" t="str">
        <v>無</v>
      </c>
      <c r="D169">
        <v>0</v>
      </c>
      <c r="E169">
        <v>1520</v>
      </c>
      <c r="F169">
        <v>0</v>
      </c>
    </row>
    <row r="170" spans="2:6">
      <c r="B170" t="str">
        <v>マルテー</v>
      </c>
      <c r="C170" t="str">
        <v>無</v>
      </c>
      <c r="D170">
        <v>0</v>
      </c>
      <c r="E170">
        <v>1940</v>
      </c>
      <c r="F170">
        <v>0</v>
      </c>
    </row>
    <row r="171" spans="2:6">
      <c r="B171" t="str">
        <v>マルテー</v>
      </c>
      <c r="C171" t="str">
        <v>無</v>
      </c>
      <c r="D171">
        <v>880</v>
      </c>
      <c r="E171">
        <v>0</v>
      </c>
      <c r="F171">
        <v>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8FB7-68EE-4F87-AB34-5BC6EB35FC33}">
  <dimension ref="A1:O34"/>
  <sheetViews>
    <sheetView zoomScale="96" zoomScaleNormal="100" workbookViewId="0">
      <selection activeCell="C2" sqref="C2:D2"/>
    </sheetView>
  </sheetViews>
  <sheetFormatPr defaultRowHeight="18"/>
  <cols>
    <col min="2" max="2" width="12.75" customWidth="1"/>
    <col min="3" max="4" width="15.83203125" bestFit="1" customWidth="1"/>
    <col min="5" max="5" width="13.6640625" bestFit="1" customWidth="1"/>
    <col min="6" max="6" width="18.08203125" bestFit="1" customWidth="1"/>
    <col min="7" max="7" width="12" bestFit="1" customWidth="1"/>
    <col min="8" max="8" width="10.58203125" bestFit="1" customWidth="1"/>
    <col min="9" max="9" width="19.5" bestFit="1" customWidth="1"/>
    <col min="10" max="11" width="14.5" bestFit="1" customWidth="1"/>
    <col min="12" max="12" width="19.4140625" bestFit="1" customWidth="1"/>
    <col min="14" max="14" width="11.9140625" customWidth="1"/>
    <col min="15" max="15" width="21.25" bestFit="1" customWidth="1"/>
  </cols>
  <sheetData>
    <row r="1" spans="1:15">
      <c r="B1" t="s">
        <v>48</v>
      </c>
    </row>
    <row r="2" spans="1:15">
      <c r="B2" s="5" t="s">
        <v>5</v>
      </c>
      <c r="C2" s="5" t="s">
        <v>127</v>
      </c>
      <c r="D2" s="5" t="s">
        <v>7</v>
      </c>
      <c r="E2" s="5" t="s">
        <v>8</v>
      </c>
      <c r="F2" s="5" t="s">
        <v>128</v>
      </c>
      <c r="G2" s="5" t="s">
        <v>50</v>
      </c>
      <c r="H2" s="5" t="s">
        <v>60</v>
      </c>
      <c r="I2" s="5" t="s">
        <v>131</v>
      </c>
      <c r="J2" s="5" t="s">
        <v>62</v>
      </c>
      <c r="K2" t="s">
        <v>61</v>
      </c>
      <c r="L2" t="s">
        <v>149</v>
      </c>
      <c r="N2" t="s">
        <v>68</v>
      </c>
    </row>
    <row r="3" spans="1:15">
      <c r="B3" t="s">
        <v>21</v>
      </c>
      <c r="C3" s="25">
        <f>SUM(企収!AB3:AB28)</f>
        <v>42160</v>
      </c>
      <c r="D3" s="25">
        <f>SUM(企収!AC3:AC28)</f>
        <v>18930</v>
      </c>
      <c r="E3" s="25">
        <f>SUM(企収!AD3:AD28)</f>
        <v>323</v>
      </c>
      <c r="F3" s="25">
        <f>SUM(C3:D3)</f>
        <v>61090</v>
      </c>
      <c r="G3" s="25">
        <v>360</v>
      </c>
      <c r="H3" s="25">
        <v>16.8</v>
      </c>
      <c r="I3" s="25">
        <f>F3/G3</f>
        <v>169.69444444444446</v>
      </c>
      <c r="J3" s="25">
        <f>(C3/F3)*100</f>
        <v>69.012931740055663</v>
      </c>
      <c r="K3" s="25">
        <f>(D3/F3)*100</f>
        <v>30.987068259944344</v>
      </c>
      <c r="L3" s="25">
        <f>F3 / H3* 100 / 1000</f>
        <v>363.63095238095235</v>
      </c>
    </row>
    <row r="4" spans="1:15">
      <c r="B4" t="s">
        <v>23</v>
      </c>
      <c r="C4" s="25">
        <f>SUM(品収!G3:G54)</f>
        <v>45149</v>
      </c>
      <c r="D4" s="25">
        <f>SUM(品収!H3:H54)</f>
        <v>40735</v>
      </c>
      <c r="E4" s="25">
        <f>SUM(品収!I3:I54)</f>
        <v>306</v>
      </c>
      <c r="F4" s="25">
        <f t="shared" ref="F4:F5" si="0">SUM(C4:D4)</f>
        <v>85884</v>
      </c>
      <c r="G4" s="25">
        <v>360</v>
      </c>
      <c r="H4" s="25">
        <v>17</v>
      </c>
      <c r="I4" s="25">
        <f t="shared" ref="I4:I6" si="1">F4/G4</f>
        <v>238.56666666666666</v>
      </c>
      <c r="J4" s="25">
        <f t="shared" ref="J4:J6" si="2">(C4/F4)*100</f>
        <v>52.569745237762568</v>
      </c>
      <c r="K4" s="25">
        <f t="shared" ref="K4:K6" si="3">(D4/F4)*100</f>
        <v>47.430254762237439</v>
      </c>
      <c r="L4" s="25">
        <f t="shared" ref="L4:L6" si="4">F4 / H4* 100 / 1000</f>
        <v>505.2</v>
      </c>
      <c r="N4" t="s">
        <v>69</v>
      </c>
      <c r="O4" t="s">
        <v>70</v>
      </c>
    </row>
    <row r="5" spans="1:15">
      <c r="B5" t="s">
        <v>40</v>
      </c>
      <c r="C5" s="25">
        <f>SUM(品収!L3:L75)</f>
        <v>65668</v>
      </c>
      <c r="D5" s="25">
        <f>SUM(品収!M3:M75)</f>
        <v>46370</v>
      </c>
      <c r="E5" s="25">
        <f>SUM(品収!N3:N75)</f>
        <v>510</v>
      </c>
      <c r="F5" s="25">
        <f t="shared" si="0"/>
        <v>112038</v>
      </c>
      <c r="G5" s="25">
        <v>700</v>
      </c>
      <c r="H5" s="25">
        <v>34</v>
      </c>
      <c r="I5" s="25">
        <f t="shared" si="1"/>
        <v>160.05428571428573</v>
      </c>
      <c r="J5" s="25">
        <f t="shared" si="2"/>
        <v>58.612256555811427</v>
      </c>
      <c r="K5" s="25">
        <f t="shared" si="3"/>
        <v>41.38774344418858</v>
      </c>
      <c r="L5" s="25">
        <f t="shared" si="4"/>
        <v>329.52352941176468</v>
      </c>
      <c r="N5" t="s">
        <v>72</v>
      </c>
      <c r="O5" t="s">
        <v>73</v>
      </c>
    </row>
    <row r="6" spans="1:15">
      <c r="B6" t="s">
        <v>25</v>
      </c>
      <c r="C6" s="25">
        <f>SUM(品収!Q3:Q265)</f>
        <v>181146</v>
      </c>
      <c r="D6" s="25">
        <f>SUM(品収!R3:R265)</f>
        <v>111519</v>
      </c>
      <c r="E6" s="25">
        <f>SUM(品収!S3:S265)</f>
        <v>1231</v>
      </c>
      <c r="F6" s="25">
        <f>SUM(C6:D6)</f>
        <v>292665</v>
      </c>
      <c r="G6" s="25">
        <f>G7-(G3+G4+G5)</f>
        <v>1830</v>
      </c>
      <c r="H6" s="25">
        <f>202-H3-H4-H5</f>
        <v>134.19999999999999</v>
      </c>
      <c r="I6" s="25">
        <f t="shared" si="1"/>
        <v>159.92622950819671</v>
      </c>
      <c r="J6" s="25">
        <f t="shared" si="2"/>
        <v>61.89534108964174</v>
      </c>
      <c r="K6" s="25">
        <f t="shared" si="3"/>
        <v>38.10465891035826</v>
      </c>
      <c r="L6" s="25">
        <f t="shared" si="4"/>
        <v>218.0812220566319</v>
      </c>
      <c r="N6" t="s">
        <v>75</v>
      </c>
      <c r="O6" t="s">
        <v>76</v>
      </c>
    </row>
    <row r="7" spans="1:15">
      <c r="B7" s="14" t="s">
        <v>56</v>
      </c>
      <c r="C7" s="26">
        <f>SUM(C3:C6)</f>
        <v>334123</v>
      </c>
      <c r="D7" s="26">
        <f t="shared" ref="D7:F7" si="5">SUM(D3:D6)</f>
        <v>217554</v>
      </c>
      <c r="E7" s="26">
        <f t="shared" si="5"/>
        <v>2370</v>
      </c>
      <c r="F7" s="26">
        <f t="shared" si="5"/>
        <v>551677</v>
      </c>
      <c r="G7" s="26">
        <v>3250</v>
      </c>
      <c r="H7" s="26">
        <f>SUM(H3:H6)</f>
        <v>202</v>
      </c>
      <c r="I7" s="26"/>
      <c r="J7" s="26"/>
      <c r="K7" s="26"/>
      <c r="L7" s="26"/>
      <c r="N7" t="s">
        <v>71</v>
      </c>
    </row>
    <row r="8" spans="1:15">
      <c r="B8" s="14" t="s">
        <v>57</v>
      </c>
      <c r="C8" s="26">
        <f>AVERAGE(C3:C6)</f>
        <v>83530.75</v>
      </c>
      <c r="D8" s="26">
        <f t="shared" ref="D8" si="6">AVERAGE(D3:D6)</f>
        <v>54388.5</v>
      </c>
      <c r="E8" s="26">
        <f t="shared" ref="E8:L8" si="7">AVERAGE(E3:E6)</f>
        <v>592.5</v>
      </c>
      <c r="F8" s="26">
        <f t="shared" si="7"/>
        <v>137919.25</v>
      </c>
      <c r="G8" s="26">
        <f t="shared" si="7"/>
        <v>812.5</v>
      </c>
      <c r="H8" s="26">
        <f t="shared" si="7"/>
        <v>50.5</v>
      </c>
      <c r="I8" s="26">
        <f t="shared" si="7"/>
        <v>182.06040658339839</v>
      </c>
      <c r="J8" s="26">
        <f t="shared" si="7"/>
        <v>60.52256865581785</v>
      </c>
      <c r="K8" s="26">
        <f t="shared" si="7"/>
        <v>39.477431344182158</v>
      </c>
      <c r="L8" s="26">
        <f t="shared" si="7"/>
        <v>354.10892596233725</v>
      </c>
      <c r="N8" t="s">
        <v>74</v>
      </c>
    </row>
    <row r="9" spans="1:15">
      <c r="B9" s="14" t="s">
        <v>59</v>
      </c>
      <c r="C9" s="26">
        <f>MEDIAN(C3:C6)</f>
        <v>55408.5</v>
      </c>
      <c r="D9" s="26">
        <f t="shared" ref="D9:G9" si="8">MEDIAN(D3:D6)</f>
        <v>43552.5</v>
      </c>
      <c r="E9" s="26">
        <f>MEDIAN(E3:E6)</f>
        <v>416.5</v>
      </c>
      <c r="F9" s="26">
        <f>MEDIAN(F3:F6)</f>
        <v>98961</v>
      </c>
      <c r="G9" s="26">
        <f t="shared" si="8"/>
        <v>530</v>
      </c>
      <c r="H9" s="26">
        <f>MEDIAN(H3:H6)</f>
        <v>25.5</v>
      </c>
      <c r="I9" s="26">
        <f t="shared" ref="I9:L9" si="9">MEDIAN(I3:I6)</f>
        <v>164.87436507936508</v>
      </c>
      <c r="J9" s="26">
        <f t="shared" si="9"/>
        <v>60.25379882272658</v>
      </c>
      <c r="K9" s="26">
        <f t="shared" si="9"/>
        <v>39.74620117727342</v>
      </c>
      <c r="L9" s="26">
        <f t="shared" si="9"/>
        <v>346.57724089635849</v>
      </c>
      <c r="N9" t="s">
        <v>77</v>
      </c>
    </row>
    <row r="10" spans="1:15">
      <c r="A10" t="s">
        <v>87</v>
      </c>
      <c r="B10" s="15" t="s">
        <v>21</v>
      </c>
      <c r="C10" s="33">
        <f>C3-83530</f>
        <v>-41370</v>
      </c>
      <c r="D10" s="33">
        <f>D3-54338</f>
        <v>-35408</v>
      </c>
      <c r="E10" s="33">
        <f>E3-592</f>
        <v>-269</v>
      </c>
      <c r="F10" s="33">
        <f>F3-551677</f>
        <v>-490587</v>
      </c>
      <c r="G10" s="25"/>
      <c r="H10" s="25"/>
      <c r="I10" s="25"/>
      <c r="J10" s="25"/>
      <c r="K10" s="25"/>
      <c r="L10" s="25"/>
    </row>
    <row r="11" spans="1:15">
      <c r="B11" s="15" t="s">
        <v>23</v>
      </c>
      <c r="C11" s="33">
        <f t="shared" ref="C11:C13" si="10">C4-83530</f>
        <v>-38381</v>
      </c>
      <c r="D11" s="33">
        <f t="shared" ref="D11:D13" si="11">D4-54338</f>
        <v>-13603</v>
      </c>
      <c r="E11" s="33">
        <f t="shared" ref="E11:E13" si="12">E4-592</f>
        <v>-286</v>
      </c>
      <c r="F11" s="33">
        <f t="shared" ref="F11:F13" si="13">F4-551677</f>
        <v>-465793</v>
      </c>
      <c r="G11" s="25"/>
      <c r="H11" s="25"/>
      <c r="I11" s="25"/>
      <c r="J11" s="25"/>
      <c r="K11" s="25"/>
      <c r="L11" s="25"/>
    </row>
    <row r="12" spans="1:15">
      <c r="B12" s="15" t="s">
        <v>40</v>
      </c>
      <c r="C12" s="33">
        <f t="shared" si="10"/>
        <v>-17862</v>
      </c>
      <c r="D12" s="33">
        <f t="shared" si="11"/>
        <v>-7968</v>
      </c>
      <c r="E12" s="33">
        <f t="shared" si="12"/>
        <v>-82</v>
      </c>
      <c r="F12" s="33">
        <f t="shared" si="13"/>
        <v>-439639</v>
      </c>
      <c r="G12" s="25"/>
      <c r="H12" s="25"/>
      <c r="I12" s="25"/>
      <c r="J12" s="25"/>
      <c r="K12" s="25"/>
      <c r="L12" s="25"/>
    </row>
    <row r="13" spans="1:15">
      <c r="B13" s="15" t="s">
        <v>25</v>
      </c>
      <c r="C13" s="33">
        <f t="shared" si="10"/>
        <v>97616</v>
      </c>
      <c r="D13" s="33">
        <f t="shared" si="11"/>
        <v>57181</v>
      </c>
      <c r="E13" s="33">
        <f t="shared" si="12"/>
        <v>639</v>
      </c>
      <c r="F13" s="33">
        <f t="shared" si="13"/>
        <v>-259012</v>
      </c>
      <c r="G13" s="25"/>
      <c r="H13" s="25"/>
      <c r="I13" s="25"/>
      <c r="J13" s="25"/>
      <c r="K13" s="25"/>
      <c r="L13" s="25"/>
    </row>
    <row r="14" spans="1:15">
      <c r="B14" s="15" t="s">
        <v>89</v>
      </c>
      <c r="C14" s="33" cm="1">
        <f t="array" ref="C14">SUM(C10:C13*C10:C13)/COUNT(C10:C13)</f>
        <v>3258128140.25</v>
      </c>
      <c r="D14" s="33" cm="1">
        <f t="array" ref="D14">SUM(D10:D13*D10:D13)/COUNT(D10:D13)</f>
        <v>1192980964.5</v>
      </c>
      <c r="E14" s="33" cm="1">
        <f t="array" ref="E14">SUM(E10:E13*E10:E13)/COUNT(E10:E13)</f>
        <v>142300.5</v>
      </c>
      <c r="F14" s="33" cm="1">
        <f t="array" ref="F14">SUM(F10:F13*F10:F13)/COUNT(F10:F13)</f>
        <v>179502097470.75</v>
      </c>
      <c r="G14" s="25"/>
      <c r="H14" s="25"/>
      <c r="I14" s="25"/>
      <c r="J14" s="25"/>
      <c r="K14" s="25"/>
      <c r="L14" s="25"/>
    </row>
    <row r="15" spans="1:15">
      <c r="B15" s="15" t="s">
        <v>58</v>
      </c>
      <c r="C15" s="33">
        <f>SQRT(C14)</f>
        <v>57080.015243953814</v>
      </c>
      <c r="D15" s="33">
        <f t="shared" ref="D15:F15" si="14">SQRT(D14)</f>
        <v>34539.556518577359</v>
      </c>
      <c r="E15" s="33">
        <f t="shared" si="14"/>
        <v>377.22738500803462</v>
      </c>
      <c r="F15" s="33">
        <f t="shared" si="14"/>
        <v>423676.87861240434</v>
      </c>
      <c r="G15" s="25"/>
      <c r="H15" s="25"/>
      <c r="I15" s="25"/>
      <c r="J15" s="25"/>
      <c r="K15" s="25"/>
      <c r="L15" s="25"/>
    </row>
    <row r="21" spans="2:10">
      <c r="B21" s="5" t="s">
        <v>5</v>
      </c>
      <c r="C21" s="5" t="s">
        <v>499</v>
      </c>
      <c r="D21" s="5" t="s">
        <v>500</v>
      </c>
      <c r="E21" s="5" t="s">
        <v>8</v>
      </c>
      <c r="F21" s="5" t="s">
        <v>501</v>
      </c>
      <c r="G21" s="5" t="s">
        <v>50</v>
      </c>
      <c r="H21" s="5" t="s">
        <v>60</v>
      </c>
      <c r="I21" s="5" t="s">
        <v>502</v>
      </c>
      <c r="J21" s="5" t="s">
        <v>62</v>
      </c>
    </row>
    <row r="22" spans="2:10">
      <c r="B22" t="s">
        <v>21</v>
      </c>
      <c r="C22" s="25">
        <v>42.16</v>
      </c>
      <c r="D22" s="25">
        <v>18.93</v>
      </c>
      <c r="E22" s="10">
        <v>323</v>
      </c>
      <c r="F22" s="25">
        <v>61.09</v>
      </c>
      <c r="G22" s="10">
        <v>360</v>
      </c>
      <c r="H22" s="10">
        <v>16.8</v>
      </c>
      <c r="I22" s="10">
        <v>169.69444444444446</v>
      </c>
      <c r="J22" s="10">
        <v>69.012931740055663</v>
      </c>
    </row>
    <row r="23" spans="2:10">
      <c r="B23" t="s">
        <v>107</v>
      </c>
      <c r="C23" s="25">
        <v>45.15</v>
      </c>
      <c r="D23" s="25">
        <v>40.74</v>
      </c>
      <c r="E23" s="10">
        <v>306</v>
      </c>
      <c r="F23" s="25">
        <v>85.88</v>
      </c>
      <c r="G23" s="10">
        <v>360</v>
      </c>
      <c r="H23" s="10">
        <v>17</v>
      </c>
      <c r="I23" s="10">
        <v>238.56666666666666</v>
      </c>
      <c r="J23" s="10">
        <v>52.569745237762568</v>
      </c>
    </row>
    <row r="24" spans="2:10">
      <c r="B24" t="s">
        <v>105</v>
      </c>
      <c r="C24" s="25">
        <v>65.67</v>
      </c>
      <c r="D24" s="25">
        <v>46.73</v>
      </c>
      <c r="E24" s="10">
        <v>510</v>
      </c>
      <c r="F24" s="25">
        <v>112.04</v>
      </c>
      <c r="G24" s="10">
        <v>700</v>
      </c>
      <c r="H24" s="10">
        <v>34</v>
      </c>
      <c r="I24" s="10">
        <v>160.05428571428573</v>
      </c>
      <c r="J24" s="10">
        <v>58.612256555811427</v>
      </c>
    </row>
    <row r="25" spans="2:10" ht="18.5" thickBot="1">
      <c r="B25" s="39" t="s">
        <v>25</v>
      </c>
      <c r="C25" s="40">
        <v>181.15</v>
      </c>
      <c r="D25" s="40">
        <v>111.52</v>
      </c>
      <c r="E25" s="41">
        <v>1231</v>
      </c>
      <c r="F25" s="40">
        <v>292.67</v>
      </c>
      <c r="G25" s="41">
        <v>1830</v>
      </c>
      <c r="H25" s="41">
        <v>134.19999999999999</v>
      </c>
      <c r="I25" s="41">
        <v>159.92622950819671</v>
      </c>
      <c r="J25" s="41">
        <v>61.89534108964174</v>
      </c>
    </row>
    <row r="26" spans="2:10">
      <c r="B26" t="s">
        <v>57</v>
      </c>
      <c r="C26" s="38">
        <v>83.53</v>
      </c>
      <c r="D26" s="38">
        <v>54.39</v>
      </c>
      <c r="E26" s="42">
        <v>592.5</v>
      </c>
      <c r="F26" s="38">
        <v>137.91999999999999</v>
      </c>
      <c r="G26" s="42">
        <v>812.5</v>
      </c>
      <c r="H26" s="42">
        <v>50.5</v>
      </c>
      <c r="I26" s="42">
        <v>182.06040658339839</v>
      </c>
      <c r="J26" s="42">
        <v>60.52256865581785</v>
      </c>
    </row>
    <row r="27" spans="2:10">
      <c r="B27" t="s">
        <v>59</v>
      </c>
      <c r="C27" s="38">
        <v>55.41</v>
      </c>
      <c r="D27" s="38">
        <v>43.55</v>
      </c>
      <c r="E27" s="42">
        <v>416.5</v>
      </c>
      <c r="F27" s="38">
        <v>98.96</v>
      </c>
      <c r="G27" s="42">
        <v>530</v>
      </c>
      <c r="H27" s="42">
        <v>25.5</v>
      </c>
      <c r="I27" s="42">
        <v>164.87436507936508</v>
      </c>
      <c r="J27" s="42">
        <v>60.25379882272658</v>
      </c>
    </row>
    <row r="31" spans="2:10">
      <c r="I31" s="19"/>
      <c r="J31" s="19"/>
    </row>
    <row r="32" spans="2:10">
      <c r="I32" s="19"/>
      <c r="J32" s="19"/>
    </row>
    <row r="33" spans="9:10">
      <c r="I33" s="19"/>
      <c r="J33" s="19"/>
    </row>
    <row r="34" spans="9:10">
      <c r="I34" s="19"/>
      <c r="J34" s="19"/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EE26-A002-4391-8290-51593CCCAC91}">
  <dimension ref="A1:AA265"/>
  <sheetViews>
    <sheetView topLeftCell="K248" zoomScale="96" workbookViewId="0">
      <selection activeCell="X3" sqref="X3:AA265"/>
    </sheetView>
  </sheetViews>
  <sheetFormatPr defaultRowHeight="18"/>
  <cols>
    <col min="1" max="1" width="10.1640625" bestFit="1" customWidth="1"/>
    <col min="2" max="4" width="13.4140625" bestFit="1" customWidth="1"/>
    <col min="5" max="5" width="14.33203125" bestFit="1" customWidth="1"/>
    <col min="6" max="6" width="8.5" bestFit="1" customWidth="1"/>
    <col min="7" max="7" width="8.5" customWidth="1"/>
    <col min="9" max="9" width="8.6640625" bestFit="1" customWidth="1"/>
    <col min="10" max="10" width="8.58203125" bestFit="1" customWidth="1"/>
    <col min="11" max="11" width="10.33203125" bestFit="1" customWidth="1"/>
    <col min="15" max="15" width="8.58203125" bestFit="1" customWidth="1"/>
    <col min="16" max="16" width="10.33203125" bestFit="1" customWidth="1"/>
    <col min="20" max="20" width="8.58203125" bestFit="1" customWidth="1"/>
    <col min="21" max="21" width="10.33203125" bestFit="1" customWidth="1"/>
  </cols>
  <sheetData>
    <row r="1" spans="1:27" ht="25" customHeight="1">
      <c r="A1" s="43" t="s">
        <v>5</v>
      </c>
      <c r="B1" s="43" t="s">
        <v>499</v>
      </c>
      <c r="C1" s="43" t="s">
        <v>501</v>
      </c>
      <c r="D1" s="43" t="s">
        <v>502</v>
      </c>
      <c r="E1" s="43" t="s">
        <v>62</v>
      </c>
      <c r="F1" s="43" t="s">
        <v>8</v>
      </c>
      <c r="G1" s="43" t="s">
        <v>50</v>
      </c>
      <c r="I1" s="37" t="s">
        <v>503</v>
      </c>
      <c r="J1" s="9"/>
      <c r="L1" s="9"/>
      <c r="M1" s="9"/>
      <c r="N1" s="37" t="s">
        <v>504</v>
      </c>
      <c r="O1" s="9"/>
      <c r="P1" s="9"/>
      <c r="Q1" s="9"/>
      <c r="R1" s="9"/>
      <c r="S1" s="37" t="s">
        <v>505</v>
      </c>
      <c r="X1" s="37" t="s">
        <v>506</v>
      </c>
    </row>
    <row r="2" spans="1:27" ht="25" customHeight="1">
      <c r="A2" s="43" t="s">
        <v>21</v>
      </c>
      <c r="B2" s="28">
        <v>42.16</v>
      </c>
      <c r="C2" s="28">
        <v>61.09</v>
      </c>
      <c r="D2" s="44">
        <v>169.69444444444446</v>
      </c>
      <c r="E2" s="50">
        <v>69.012931740055663</v>
      </c>
      <c r="F2" s="44">
        <v>323</v>
      </c>
      <c r="G2" s="44">
        <v>360</v>
      </c>
      <c r="I2" s="43" t="s">
        <v>21</v>
      </c>
      <c r="J2" s="43" t="s">
        <v>23</v>
      </c>
      <c r="K2" s="43" t="s">
        <v>40</v>
      </c>
      <c r="L2" s="43" t="s">
        <v>25</v>
      </c>
      <c r="M2" s="43"/>
      <c r="N2" s="43" t="s">
        <v>21</v>
      </c>
      <c r="O2" s="43" t="s">
        <v>23</v>
      </c>
      <c r="P2" s="43" t="s">
        <v>40</v>
      </c>
      <c r="Q2" s="43" t="s">
        <v>25</v>
      </c>
      <c r="S2" s="43" t="s">
        <v>21</v>
      </c>
      <c r="T2" s="43" t="s">
        <v>23</v>
      </c>
      <c r="U2" s="43" t="s">
        <v>40</v>
      </c>
      <c r="V2" s="43" t="s">
        <v>25</v>
      </c>
      <c r="X2" s="43" t="s">
        <v>21</v>
      </c>
      <c r="Y2" s="43" t="s">
        <v>23</v>
      </c>
      <c r="Z2" s="43" t="s">
        <v>40</v>
      </c>
      <c r="AA2" s="43" t="s">
        <v>25</v>
      </c>
    </row>
    <row r="3" spans="1:27" ht="25" customHeight="1">
      <c r="A3" s="43" t="s">
        <v>107</v>
      </c>
      <c r="B3" s="28">
        <v>45.15</v>
      </c>
      <c r="C3" s="28">
        <v>85.88</v>
      </c>
      <c r="D3" s="50">
        <v>238.56666666666666</v>
      </c>
      <c r="E3" s="50">
        <v>52.569745237762568</v>
      </c>
      <c r="F3" s="44">
        <v>306</v>
      </c>
      <c r="G3" s="44">
        <v>360</v>
      </c>
      <c r="I3" s="48">
        <v>240</v>
      </c>
      <c r="J3">
        <v>46</v>
      </c>
      <c r="K3">
        <v>800</v>
      </c>
      <c r="L3">
        <v>100</v>
      </c>
      <c r="N3" s="48">
        <v>0</v>
      </c>
      <c r="O3">
        <v>0</v>
      </c>
      <c r="P3">
        <v>0</v>
      </c>
      <c r="Q3">
        <v>0</v>
      </c>
      <c r="S3" s="48">
        <v>3</v>
      </c>
      <c r="T3">
        <v>0</v>
      </c>
      <c r="U3">
        <v>7</v>
      </c>
      <c r="V3">
        <v>0</v>
      </c>
      <c r="X3" s="12">
        <f>(I3+N3)</f>
        <v>240</v>
      </c>
      <c r="Y3" s="12">
        <f t="shared" ref="Y3:AA3" si="0">(J3+O3)</f>
        <v>46</v>
      </c>
      <c r="Z3" s="12">
        <f t="shared" si="0"/>
        <v>800</v>
      </c>
      <c r="AA3" s="12">
        <f t="shared" si="0"/>
        <v>100</v>
      </c>
    </row>
    <row r="4" spans="1:27" ht="25" customHeight="1">
      <c r="A4" s="43" t="s">
        <v>105</v>
      </c>
      <c r="B4" s="28">
        <v>65.67</v>
      </c>
      <c r="C4" s="28">
        <v>112.04</v>
      </c>
      <c r="D4" s="44">
        <v>160.05428571428573</v>
      </c>
      <c r="E4" s="44">
        <v>58.612256555811427</v>
      </c>
      <c r="F4" s="44">
        <v>510</v>
      </c>
      <c r="G4" s="44">
        <v>700</v>
      </c>
      <c r="I4" s="48">
        <v>1510</v>
      </c>
      <c r="J4">
        <v>0</v>
      </c>
      <c r="K4">
        <v>300</v>
      </c>
      <c r="L4">
        <v>100</v>
      </c>
      <c r="N4" s="48">
        <v>0</v>
      </c>
      <c r="O4">
        <v>200</v>
      </c>
      <c r="P4">
        <v>0</v>
      </c>
      <c r="Q4">
        <v>0</v>
      </c>
      <c r="S4" s="48">
        <v>12</v>
      </c>
      <c r="T4">
        <v>0</v>
      </c>
      <c r="U4">
        <v>1</v>
      </c>
      <c r="V4">
        <v>1</v>
      </c>
      <c r="X4" s="12">
        <f t="shared" ref="X4:X67" si="1">(I4+N4)</f>
        <v>1510</v>
      </c>
      <c r="Y4" s="12">
        <f t="shared" ref="Y4:Y67" si="2">(J4+O4)</f>
        <v>200</v>
      </c>
      <c r="Z4" s="12">
        <f t="shared" ref="Z4:Z67" si="3">(K4+P4)</f>
        <v>300</v>
      </c>
      <c r="AA4" s="12">
        <f t="shared" ref="AA4:AA67" si="4">(L4+Q4)</f>
        <v>100</v>
      </c>
    </row>
    <row r="5" spans="1:27" ht="25" customHeight="1" thickBot="1">
      <c r="A5" s="49" t="s">
        <v>25</v>
      </c>
      <c r="B5" s="45">
        <v>181.15</v>
      </c>
      <c r="C5" s="52">
        <v>292.67</v>
      </c>
      <c r="D5" s="46">
        <v>159.92622950819671</v>
      </c>
      <c r="E5" s="46">
        <v>61.89534108964174</v>
      </c>
      <c r="F5" s="46">
        <v>1231</v>
      </c>
      <c r="G5" s="51">
        <v>1830</v>
      </c>
      <c r="I5" s="48">
        <v>120</v>
      </c>
      <c r="J5">
        <v>240</v>
      </c>
      <c r="K5">
        <v>440</v>
      </c>
      <c r="L5">
        <v>46</v>
      </c>
      <c r="N5" s="48">
        <v>0</v>
      </c>
      <c r="O5">
        <v>0</v>
      </c>
      <c r="P5">
        <v>1240</v>
      </c>
      <c r="Q5">
        <v>0</v>
      </c>
      <c r="S5" s="48">
        <v>0</v>
      </c>
      <c r="T5">
        <v>0</v>
      </c>
      <c r="U5">
        <v>3</v>
      </c>
      <c r="V5">
        <v>0</v>
      </c>
      <c r="X5" s="12">
        <f t="shared" si="1"/>
        <v>120</v>
      </c>
      <c r="Y5" s="12">
        <f t="shared" si="2"/>
        <v>240</v>
      </c>
      <c r="Z5" s="12">
        <f t="shared" si="3"/>
        <v>1680</v>
      </c>
      <c r="AA5" s="12">
        <f t="shared" si="4"/>
        <v>46</v>
      </c>
    </row>
    <row r="6" spans="1:27" ht="25" customHeight="1">
      <c r="A6" s="43" t="s">
        <v>57</v>
      </c>
      <c r="B6" s="47">
        <v>83.53</v>
      </c>
      <c r="C6" s="47">
        <v>137.91999999999999</v>
      </c>
      <c r="D6" s="48">
        <v>182.06040658339839</v>
      </c>
      <c r="E6" s="48">
        <v>60.52256865581785</v>
      </c>
      <c r="F6" s="48">
        <v>592.5</v>
      </c>
      <c r="G6" s="48">
        <v>812.5</v>
      </c>
      <c r="I6" s="8">
        <v>3340</v>
      </c>
      <c r="J6">
        <v>440</v>
      </c>
      <c r="K6">
        <v>220</v>
      </c>
      <c r="L6">
        <v>130</v>
      </c>
      <c r="N6" s="8">
        <v>0</v>
      </c>
      <c r="O6">
        <v>0</v>
      </c>
      <c r="P6">
        <v>300</v>
      </c>
      <c r="Q6">
        <v>0</v>
      </c>
      <c r="S6" s="8">
        <v>32</v>
      </c>
      <c r="T6">
        <v>4</v>
      </c>
      <c r="U6">
        <v>2</v>
      </c>
      <c r="V6">
        <v>0</v>
      </c>
      <c r="X6" s="12">
        <f t="shared" si="1"/>
        <v>3340</v>
      </c>
      <c r="Y6" s="12">
        <f t="shared" si="2"/>
        <v>440</v>
      </c>
      <c r="Z6" s="12">
        <f t="shared" si="3"/>
        <v>520</v>
      </c>
      <c r="AA6" s="12">
        <f t="shared" si="4"/>
        <v>130</v>
      </c>
    </row>
    <row r="7" spans="1:27" ht="25" customHeight="1">
      <c r="A7" s="43" t="s">
        <v>59</v>
      </c>
      <c r="B7" s="47">
        <v>55.41</v>
      </c>
      <c r="C7" s="47">
        <v>98.96</v>
      </c>
      <c r="D7" s="48">
        <v>164.87436507936508</v>
      </c>
      <c r="E7" s="48">
        <v>60.25379882272658</v>
      </c>
      <c r="F7" s="48">
        <v>416.5</v>
      </c>
      <c r="G7" s="48">
        <v>530</v>
      </c>
      <c r="I7" s="8">
        <v>240</v>
      </c>
      <c r="J7">
        <v>220</v>
      </c>
      <c r="K7">
        <v>1820</v>
      </c>
      <c r="L7">
        <v>100</v>
      </c>
      <c r="N7" s="8">
        <v>0</v>
      </c>
      <c r="O7">
        <v>0</v>
      </c>
      <c r="P7">
        <v>158</v>
      </c>
      <c r="Q7">
        <v>0</v>
      </c>
      <c r="S7" s="8">
        <v>0</v>
      </c>
      <c r="T7">
        <v>0</v>
      </c>
      <c r="U7">
        <v>15</v>
      </c>
      <c r="V7">
        <v>0</v>
      </c>
      <c r="X7" s="12">
        <f t="shared" si="1"/>
        <v>240</v>
      </c>
      <c r="Y7" s="12">
        <f t="shared" si="2"/>
        <v>220</v>
      </c>
      <c r="Z7" s="12">
        <f t="shared" si="3"/>
        <v>1978</v>
      </c>
      <c r="AA7" s="12">
        <f t="shared" si="4"/>
        <v>100</v>
      </c>
    </row>
    <row r="8" spans="1:27">
      <c r="I8" s="8">
        <v>5140</v>
      </c>
      <c r="J8">
        <v>960</v>
      </c>
      <c r="K8">
        <v>260</v>
      </c>
      <c r="L8">
        <v>320</v>
      </c>
      <c r="N8" s="8">
        <v>0</v>
      </c>
      <c r="O8">
        <v>560</v>
      </c>
      <c r="P8">
        <v>110</v>
      </c>
      <c r="Q8">
        <v>0</v>
      </c>
      <c r="S8" s="8">
        <v>31</v>
      </c>
      <c r="T8">
        <v>8</v>
      </c>
      <c r="U8">
        <v>1</v>
      </c>
      <c r="V8">
        <v>3</v>
      </c>
      <c r="X8" s="12">
        <f t="shared" si="1"/>
        <v>5140</v>
      </c>
      <c r="Y8" s="12">
        <f t="shared" si="2"/>
        <v>1520</v>
      </c>
      <c r="Z8" s="12">
        <f t="shared" si="3"/>
        <v>370</v>
      </c>
      <c r="AA8" s="12">
        <f t="shared" si="4"/>
        <v>320</v>
      </c>
    </row>
    <row r="9" spans="1:27">
      <c r="I9" s="44">
        <v>480</v>
      </c>
      <c r="J9">
        <v>500</v>
      </c>
      <c r="K9">
        <v>180</v>
      </c>
      <c r="L9">
        <v>260</v>
      </c>
      <c r="N9" s="44">
        <v>0</v>
      </c>
      <c r="O9">
        <v>0</v>
      </c>
      <c r="P9">
        <v>60</v>
      </c>
      <c r="Q9">
        <v>0</v>
      </c>
      <c r="S9" s="44">
        <v>0</v>
      </c>
      <c r="T9">
        <v>0</v>
      </c>
      <c r="U9">
        <v>1</v>
      </c>
      <c r="V9">
        <v>0</v>
      </c>
      <c r="X9" s="12">
        <f t="shared" si="1"/>
        <v>480</v>
      </c>
      <c r="Y9" s="12">
        <f t="shared" si="2"/>
        <v>500</v>
      </c>
      <c r="Z9" s="12">
        <f t="shared" si="3"/>
        <v>240</v>
      </c>
      <c r="AA9" s="12">
        <f t="shared" si="4"/>
        <v>260</v>
      </c>
    </row>
    <row r="10" spans="1:27">
      <c r="I10" s="44">
        <v>840</v>
      </c>
      <c r="J10">
        <v>160</v>
      </c>
      <c r="K10">
        <v>1680</v>
      </c>
      <c r="L10">
        <v>195</v>
      </c>
      <c r="N10" s="44">
        <v>0</v>
      </c>
      <c r="O10">
        <v>800</v>
      </c>
      <c r="P10">
        <v>1540</v>
      </c>
      <c r="Q10">
        <v>0</v>
      </c>
      <c r="S10" s="44">
        <v>0</v>
      </c>
      <c r="T10">
        <v>0</v>
      </c>
      <c r="U10">
        <v>12</v>
      </c>
      <c r="V10">
        <v>0</v>
      </c>
      <c r="X10" s="12">
        <f t="shared" si="1"/>
        <v>840</v>
      </c>
      <c r="Y10" s="12">
        <f t="shared" si="2"/>
        <v>960</v>
      </c>
      <c r="Z10" s="12">
        <f t="shared" si="3"/>
        <v>3220</v>
      </c>
      <c r="AA10" s="12">
        <f t="shared" si="4"/>
        <v>195</v>
      </c>
    </row>
    <row r="11" spans="1:27">
      <c r="I11" s="44">
        <v>1600</v>
      </c>
      <c r="J11">
        <v>880</v>
      </c>
      <c r="K11">
        <v>868</v>
      </c>
      <c r="L11">
        <v>170</v>
      </c>
      <c r="N11" s="44">
        <v>500</v>
      </c>
      <c r="O11">
        <v>0</v>
      </c>
      <c r="P11">
        <v>712</v>
      </c>
      <c r="Q11">
        <v>0</v>
      </c>
      <c r="S11" s="44">
        <v>15</v>
      </c>
      <c r="T11">
        <v>6</v>
      </c>
      <c r="U11">
        <v>7</v>
      </c>
      <c r="V11">
        <v>0</v>
      </c>
      <c r="X11" s="12">
        <f t="shared" si="1"/>
        <v>2100</v>
      </c>
      <c r="Y11" s="12">
        <f t="shared" si="2"/>
        <v>880</v>
      </c>
      <c r="Z11" s="12">
        <f t="shared" si="3"/>
        <v>1580</v>
      </c>
      <c r="AA11" s="12">
        <f t="shared" si="4"/>
        <v>170</v>
      </c>
    </row>
    <row r="12" spans="1:27">
      <c r="I12" s="44">
        <v>300</v>
      </c>
      <c r="J12">
        <v>1240</v>
      </c>
      <c r="K12">
        <v>120</v>
      </c>
      <c r="L12">
        <v>320</v>
      </c>
      <c r="N12" s="44">
        <v>0</v>
      </c>
      <c r="O12">
        <v>0</v>
      </c>
      <c r="P12">
        <v>60</v>
      </c>
      <c r="Q12">
        <v>0</v>
      </c>
      <c r="S12" s="44">
        <v>0</v>
      </c>
      <c r="T12">
        <v>10</v>
      </c>
      <c r="U12">
        <v>1</v>
      </c>
      <c r="V12">
        <v>0</v>
      </c>
      <c r="X12" s="12">
        <f t="shared" si="1"/>
        <v>300</v>
      </c>
      <c r="Y12" s="12">
        <f t="shared" si="2"/>
        <v>1240</v>
      </c>
      <c r="Z12" s="12">
        <f t="shared" si="3"/>
        <v>180</v>
      </c>
      <c r="AA12" s="12">
        <f t="shared" si="4"/>
        <v>320</v>
      </c>
    </row>
    <row r="13" spans="1:27">
      <c r="I13" s="44">
        <v>4700</v>
      </c>
      <c r="J13">
        <v>500</v>
      </c>
      <c r="K13">
        <v>1200</v>
      </c>
      <c r="L13">
        <v>200</v>
      </c>
      <c r="N13" s="44">
        <v>0</v>
      </c>
      <c r="O13">
        <v>0</v>
      </c>
      <c r="P13">
        <v>1640</v>
      </c>
      <c r="Q13">
        <v>0</v>
      </c>
      <c r="S13" s="44">
        <v>42</v>
      </c>
      <c r="T13">
        <v>2</v>
      </c>
      <c r="U13">
        <v>11</v>
      </c>
      <c r="V13">
        <v>0</v>
      </c>
      <c r="X13" s="12">
        <f t="shared" si="1"/>
        <v>4700</v>
      </c>
      <c r="Y13" s="12">
        <f t="shared" si="2"/>
        <v>500</v>
      </c>
      <c r="Z13" s="12">
        <f t="shared" si="3"/>
        <v>2840</v>
      </c>
      <c r="AA13" s="12">
        <f t="shared" si="4"/>
        <v>200</v>
      </c>
    </row>
    <row r="14" spans="1:27">
      <c r="I14" s="44">
        <v>220</v>
      </c>
      <c r="J14">
        <v>1880</v>
      </c>
      <c r="K14">
        <v>1370</v>
      </c>
      <c r="L14">
        <v>540</v>
      </c>
      <c r="N14" s="44">
        <v>0</v>
      </c>
      <c r="O14">
        <v>2480</v>
      </c>
      <c r="P14">
        <v>1430</v>
      </c>
      <c r="Q14">
        <v>0</v>
      </c>
      <c r="S14" s="44">
        <v>1</v>
      </c>
      <c r="T14">
        <v>10</v>
      </c>
      <c r="U14">
        <v>11</v>
      </c>
      <c r="V14">
        <v>3</v>
      </c>
      <c r="X14" s="12">
        <f t="shared" si="1"/>
        <v>220</v>
      </c>
      <c r="Y14" s="12">
        <f t="shared" si="2"/>
        <v>4360</v>
      </c>
      <c r="Z14" s="12">
        <f t="shared" si="3"/>
        <v>2800</v>
      </c>
      <c r="AA14" s="12">
        <f t="shared" si="4"/>
        <v>540</v>
      </c>
    </row>
    <row r="15" spans="1:27">
      <c r="I15" s="44">
        <v>1460</v>
      </c>
      <c r="J15">
        <v>210</v>
      </c>
      <c r="K15">
        <v>0</v>
      </c>
      <c r="L15">
        <v>80</v>
      </c>
      <c r="N15" s="44">
        <v>0</v>
      </c>
      <c r="O15">
        <v>330</v>
      </c>
      <c r="P15">
        <v>0</v>
      </c>
      <c r="Q15">
        <v>0</v>
      </c>
      <c r="S15" s="44">
        <v>12</v>
      </c>
      <c r="T15">
        <v>2</v>
      </c>
      <c r="U15">
        <v>0</v>
      </c>
      <c r="V15">
        <v>0</v>
      </c>
      <c r="X15" s="12">
        <f t="shared" si="1"/>
        <v>1460</v>
      </c>
      <c r="Y15" s="12">
        <f t="shared" si="2"/>
        <v>540</v>
      </c>
      <c r="Z15" s="12">
        <f t="shared" si="3"/>
        <v>0</v>
      </c>
      <c r="AA15" s="12">
        <f t="shared" si="4"/>
        <v>80</v>
      </c>
    </row>
    <row r="16" spans="1:27">
      <c r="I16" s="44">
        <v>520</v>
      </c>
      <c r="J16">
        <v>2036</v>
      </c>
      <c r="K16">
        <v>1060</v>
      </c>
      <c r="L16">
        <v>260</v>
      </c>
      <c r="N16" s="44">
        <v>0</v>
      </c>
      <c r="O16">
        <v>435</v>
      </c>
      <c r="P16">
        <v>2560</v>
      </c>
      <c r="Q16">
        <v>0</v>
      </c>
      <c r="S16" s="44">
        <v>2</v>
      </c>
      <c r="T16">
        <v>15</v>
      </c>
      <c r="U16">
        <v>8</v>
      </c>
      <c r="V16">
        <v>0</v>
      </c>
      <c r="X16" s="12">
        <f t="shared" si="1"/>
        <v>520</v>
      </c>
      <c r="Y16" s="12">
        <f t="shared" si="2"/>
        <v>2471</v>
      </c>
      <c r="Z16" s="12">
        <f t="shared" si="3"/>
        <v>3620</v>
      </c>
      <c r="AA16" s="12">
        <f t="shared" si="4"/>
        <v>260</v>
      </c>
    </row>
    <row r="17" spans="9:27">
      <c r="I17" s="44">
        <v>820</v>
      </c>
      <c r="J17">
        <v>220</v>
      </c>
      <c r="K17">
        <v>1160</v>
      </c>
      <c r="L17">
        <v>120</v>
      </c>
      <c r="N17" s="44">
        <v>822</v>
      </c>
      <c r="O17">
        <v>120</v>
      </c>
      <c r="P17">
        <v>1600</v>
      </c>
      <c r="Q17">
        <v>0</v>
      </c>
      <c r="S17" s="44">
        <v>8</v>
      </c>
      <c r="T17">
        <v>1</v>
      </c>
      <c r="U17">
        <v>9</v>
      </c>
      <c r="V17">
        <v>0</v>
      </c>
      <c r="X17" s="12">
        <f t="shared" si="1"/>
        <v>1642</v>
      </c>
      <c r="Y17" s="12">
        <f t="shared" si="2"/>
        <v>340</v>
      </c>
      <c r="Z17" s="12">
        <f t="shared" si="3"/>
        <v>2760</v>
      </c>
      <c r="AA17" s="12">
        <f t="shared" si="4"/>
        <v>120</v>
      </c>
    </row>
    <row r="18" spans="9:27">
      <c r="I18" s="44">
        <v>128</v>
      </c>
      <c r="J18">
        <v>1990</v>
      </c>
      <c r="K18">
        <v>0</v>
      </c>
      <c r="L18">
        <v>120</v>
      </c>
      <c r="N18" s="44">
        <v>282</v>
      </c>
      <c r="O18">
        <v>1250</v>
      </c>
      <c r="P18">
        <v>0</v>
      </c>
      <c r="Q18">
        <v>0</v>
      </c>
      <c r="S18" s="44">
        <v>1</v>
      </c>
      <c r="T18">
        <v>17</v>
      </c>
      <c r="U18">
        <v>0</v>
      </c>
      <c r="V18">
        <v>0</v>
      </c>
      <c r="X18" s="12">
        <f t="shared" si="1"/>
        <v>410</v>
      </c>
      <c r="Y18" s="12">
        <f t="shared" si="2"/>
        <v>3240</v>
      </c>
      <c r="Z18" s="12">
        <f t="shared" si="3"/>
        <v>0</v>
      </c>
      <c r="AA18" s="12">
        <f t="shared" si="4"/>
        <v>120</v>
      </c>
    </row>
    <row r="19" spans="9:27">
      <c r="I19" s="44">
        <v>1880</v>
      </c>
      <c r="J19">
        <v>260</v>
      </c>
      <c r="K19">
        <v>600</v>
      </c>
      <c r="L19">
        <v>80</v>
      </c>
      <c r="N19" s="44">
        <v>665</v>
      </c>
      <c r="O19">
        <v>60</v>
      </c>
      <c r="P19">
        <v>1760</v>
      </c>
      <c r="Q19">
        <v>0</v>
      </c>
      <c r="S19" s="44">
        <v>9</v>
      </c>
      <c r="T19">
        <v>1</v>
      </c>
      <c r="U19">
        <v>5</v>
      </c>
      <c r="V19">
        <v>0</v>
      </c>
      <c r="X19" s="12">
        <f t="shared" si="1"/>
        <v>2545</v>
      </c>
      <c r="Y19" s="12">
        <f t="shared" si="2"/>
        <v>320</v>
      </c>
      <c r="Z19" s="12">
        <f t="shared" si="3"/>
        <v>2360</v>
      </c>
      <c r="AA19" s="12">
        <f t="shared" si="4"/>
        <v>80</v>
      </c>
    </row>
    <row r="20" spans="9:27">
      <c r="I20" s="44">
        <v>300</v>
      </c>
      <c r="J20">
        <v>1990</v>
      </c>
      <c r="K20">
        <v>0</v>
      </c>
      <c r="L20">
        <v>400</v>
      </c>
      <c r="N20" s="44">
        <v>90</v>
      </c>
      <c r="O20">
        <v>1350</v>
      </c>
      <c r="P20">
        <v>0</v>
      </c>
      <c r="Q20">
        <v>0</v>
      </c>
      <c r="S20" s="44">
        <v>2</v>
      </c>
      <c r="T20">
        <v>17</v>
      </c>
      <c r="U20">
        <v>0</v>
      </c>
      <c r="V20">
        <v>0</v>
      </c>
      <c r="X20" s="12">
        <f t="shared" si="1"/>
        <v>390</v>
      </c>
      <c r="Y20" s="12">
        <f t="shared" si="2"/>
        <v>3340</v>
      </c>
      <c r="Z20" s="12">
        <f t="shared" si="3"/>
        <v>0</v>
      </c>
      <c r="AA20" s="12">
        <f t="shared" si="4"/>
        <v>400</v>
      </c>
    </row>
    <row r="21" spans="9:27">
      <c r="I21" s="44">
        <v>400</v>
      </c>
      <c r="J21">
        <v>0</v>
      </c>
      <c r="K21">
        <v>0</v>
      </c>
      <c r="L21">
        <v>100</v>
      </c>
      <c r="N21" s="44">
        <v>920</v>
      </c>
      <c r="O21">
        <v>0</v>
      </c>
      <c r="P21">
        <v>0</v>
      </c>
      <c r="Q21">
        <v>0</v>
      </c>
      <c r="S21" s="44">
        <v>4</v>
      </c>
      <c r="T21">
        <v>0</v>
      </c>
      <c r="U21">
        <v>0</v>
      </c>
      <c r="V21">
        <v>0</v>
      </c>
      <c r="X21" s="12">
        <f t="shared" si="1"/>
        <v>1320</v>
      </c>
      <c r="Y21" s="12">
        <f t="shared" si="2"/>
        <v>0</v>
      </c>
      <c r="Z21" s="12">
        <f t="shared" si="3"/>
        <v>0</v>
      </c>
      <c r="AA21" s="12">
        <f t="shared" si="4"/>
        <v>100</v>
      </c>
    </row>
    <row r="22" spans="9:27">
      <c r="I22" s="44">
        <v>260</v>
      </c>
      <c r="J22">
        <v>2300</v>
      </c>
      <c r="K22">
        <v>250</v>
      </c>
      <c r="L22">
        <v>120</v>
      </c>
      <c r="N22" s="44">
        <v>40</v>
      </c>
      <c r="O22">
        <v>325</v>
      </c>
      <c r="P22">
        <v>1510</v>
      </c>
      <c r="Q22">
        <v>0</v>
      </c>
      <c r="S22" s="44">
        <v>2</v>
      </c>
      <c r="T22">
        <v>22</v>
      </c>
      <c r="U22">
        <v>2</v>
      </c>
      <c r="V22">
        <v>0</v>
      </c>
      <c r="X22" s="12">
        <f t="shared" si="1"/>
        <v>300</v>
      </c>
      <c r="Y22" s="12">
        <f t="shared" si="2"/>
        <v>2625</v>
      </c>
      <c r="Z22" s="12">
        <f t="shared" si="3"/>
        <v>1760</v>
      </c>
      <c r="AA22" s="12">
        <f t="shared" si="4"/>
        <v>120</v>
      </c>
    </row>
    <row r="23" spans="9:27">
      <c r="I23" s="44">
        <v>580</v>
      </c>
      <c r="J23">
        <v>200</v>
      </c>
      <c r="K23">
        <v>1340</v>
      </c>
      <c r="L23">
        <v>320</v>
      </c>
      <c r="N23" s="44">
        <v>180</v>
      </c>
      <c r="O23">
        <v>166</v>
      </c>
      <c r="P23">
        <v>2060</v>
      </c>
      <c r="Q23">
        <v>0</v>
      </c>
      <c r="S23" s="44">
        <v>5</v>
      </c>
      <c r="T23">
        <v>1</v>
      </c>
      <c r="U23">
        <v>7</v>
      </c>
      <c r="V23">
        <v>0</v>
      </c>
      <c r="X23" s="12">
        <f t="shared" si="1"/>
        <v>760</v>
      </c>
      <c r="Y23" s="12">
        <f t="shared" si="2"/>
        <v>366</v>
      </c>
      <c r="Z23" s="12">
        <f t="shared" si="3"/>
        <v>3400</v>
      </c>
      <c r="AA23" s="12">
        <f t="shared" si="4"/>
        <v>320</v>
      </c>
    </row>
    <row r="24" spans="9:27">
      <c r="I24" s="44">
        <v>139</v>
      </c>
      <c r="J24">
        <v>1326</v>
      </c>
      <c r="K24">
        <v>160</v>
      </c>
      <c r="L24">
        <v>60</v>
      </c>
      <c r="N24" s="44">
        <v>220</v>
      </c>
      <c r="O24">
        <v>2050</v>
      </c>
      <c r="P24">
        <v>0</v>
      </c>
      <c r="Q24">
        <v>0</v>
      </c>
      <c r="S24" s="44">
        <v>0</v>
      </c>
      <c r="T24">
        <v>12</v>
      </c>
      <c r="U24">
        <v>1</v>
      </c>
      <c r="V24">
        <v>0</v>
      </c>
      <c r="X24" s="12">
        <f t="shared" si="1"/>
        <v>359</v>
      </c>
      <c r="Y24" s="12">
        <f t="shared" si="2"/>
        <v>3376</v>
      </c>
      <c r="Z24" s="12">
        <f t="shared" si="3"/>
        <v>160</v>
      </c>
      <c r="AA24" s="12">
        <f t="shared" si="4"/>
        <v>60</v>
      </c>
    </row>
    <row r="25" spans="9:27">
      <c r="I25" s="44">
        <v>1500</v>
      </c>
      <c r="J25">
        <v>300</v>
      </c>
      <c r="K25">
        <v>130</v>
      </c>
      <c r="L25">
        <v>960</v>
      </c>
      <c r="N25" s="44">
        <v>573</v>
      </c>
      <c r="O25">
        <v>0</v>
      </c>
      <c r="P25">
        <v>1550</v>
      </c>
      <c r="Q25">
        <v>0</v>
      </c>
      <c r="S25" s="44">
        <v>5</v>
      </c>
      <c r="T25">
        <v>3</v>
      </c>
      <c r="U25">
        <v>1</v>
      </c>
      <c r="V25">
        <v>5</v>
      </c>
      <c r="X25" s="12">
        <f t="shared" si="1"/>
        <v>2073</v>
      </c>
      <c r="Y25" s="12">
        <f t="shared" si="2"/>
        <v>300</v>
      </c>
      <c r="Z25" s="12">
        <f t="shared" si="3"/>
        <v>1680</v>
      </c>
      <c r="AA25" s="12">
        <f t="shared" si="4"/>
        <v>960</v>
      </c>
    </row>
    <row r="26" spans="9:27">
      <c r="I26" s="44">
        <v>140</v>
      </c>
      <c r="J26">
        <v>1160</v>
      </c>
      <c r="K26">
        <v>460</v>
      </c>
      <c r="L26">
        <v>240</v>
      </c>
      <c r="N26" s="44">
        <v>269</v>
      </c>
      <c r="O26">
        <v>2420</v>
      </c>
      <c r="P26">
        <v>1800</v>
      </c>
      <c r="Q26">
        <v>0</v>
      </c>
      <c r="S26" s="44">
        <v>1</v>
      </c>
      <c r="T26">
        <v>11</v>
      </c>
      <c r="U26">
        <v>2</v>
      </c>
      <c r="V26">
        <v>0</v>
      </c>
      <c r="X26" s="12">
        <f t="shared" si="1"/>
        <v>409</v>
      </c>
      <c r="Y26" s="12">
        <f t="shared" si="2"/>
        <v>3580</v>
      </c>
      <c r="Z26" s="12">
        <f t="shared" si="3"/>
        <v>2260</v>
      </c>
      <c r="AA26" s="12">
        <f t="shared" si="4"/>
        <v>240</v>
      </c>
    </row>
    <row r="27" spans="9:27">
      <c r="I27" s="44">
        <v>300</v>
      </c>
      <c r="J27">
        <v>360</v>
      </c>
      <c r="K27">
        <v>340</v>
      </c>
      <c r="L27">
        <v>3940</v>
      </c>
      <c r="N27" s="44">
        <v>940</v>
      </c>
      <c r="O27">
        <v>3190</v>
      </c>
      <c r="P27">
        <v>750</v>
      </c>
      <c r="Q27">
        <v>0</v>
      </c>
      <c r="S27" s="44">
        <v>2</v>
      </c>
      <c r="T27">
        <v>0</v>
      </c>
      <c r="U27">
        <v>3</v>
      </c>
      <c r="V27">
        <v>28</v>
      </c>
      <c r="X27" s="12">
        <f t="shared" si="1"/>
        <v>1240</v>
      </c>
      <c r="Y27" s="12">
        <f t="shared" si="2"/>
        <v>3550</v>
      </c>
      <c r="Z27" s="12">
        <f t="shared" si="3"/>
        <v>1090</v>
      </c>
      <c r="AA27" s="12">
        <f t="shared" si="4"/>
        <v>3940</v>
      </c>
    </row>
    <row r="28" spans="9:27">
      <c r="I28" s="44">
        <v>340</v>
      </c>
      <c r="J28">
        <v>551</v>
      </c>
      <c r="K28">
        <v>0</v>
      </c>
      <c r="L28">
        <v>340</v>
      </c>
      <c r="N28" s="44">
        <v>1840</v>
      </c>
      <c r="O28">
        <v>479</v>
      </c>
      <c r="P28">
        <v>220</v>
      </c>
      <c r="Q28">
        <v>0</v>
      </c>
      <c r="S28" s="44">
        <v>1</v>
      </c>
      <c r="T28">
        <v>5</v>
      </c>
      <c r="U28">
        <v>0</v>
      </c>
      <c r="V28">
        <v>0</v>
      </c>
      <c r="X28" s="12">
        <f t="shared" si="1"/>
        <v>2180</v>
      </c>
      <c r="Y28" s="12">
        <f t="shared" si="2"/>
        <v>1030</v>
      </c>
      <c r="Z28" s="12">
        <f t="shared" si="3"/>
        <v>220</v>
      </c>
      <c r="AA28" s="12">
        <f t="shared" si="4"/>
        <v>340</v>
      </c>
    </row>
    <row r="29" spans="9:27">
      <c r="I29" s="44">
        <v>0</v>
      </c>
      <c r="J29">
        <v>0</v>
      </c>
      <c r="K29">
        <v>0</v>
      </c>
      <c r="L29">
        <v>100</v>
      </c>
      <c r="N29" s="44">
        <v>0</v>
      </c>
      <c r="O29">
        <v>720</v>
      </c>
      <c r="P29">
        <v>600</v>
      </c>
      <c r="Q29">
        <v>0</v>
      </c>
      <c r="S29" s="44">
        <v>0</v>
      </c>
      <c r="T29">
        <v>0</v>
      </c>
      <c r="U29">
        <v>0</v>
      </c>
      <c r="V29">
        <v>0</v>
      </c>
      <c r="X29" s="12">
        <f t="shared" si="1"/>
        <v>0</v>
      </c>
      <c r="Y29" s="12">
        <f t="shared" si="2"/>
        <v>720</v>
      </c>
      <c r="Z29" s="12">
        <f t="shared" si="3"/>
        <v>600</v>
      </c>
      <c r="AA29" s="12">
        <f t="shared" si="4"/>
        <v>100</v>
      </c>
    </row>
    <row r="30" spans="9:27">
      <c r="I30" s="44">
        <v>340</v>
      </c>
      <c r="J30">
        <v>440</v>
      </c>
      <c r="K30">
        <v>860</v>
      </c>
      <c r="L30">
        <v>1140</v>
      </c>
      <c r="N30" s="44">
        <v>2200</v>
      </c>
      <c r="O30">
        <v>1360</v>
      </c>
      <c r="P30">
        <v>1740</v>
      </c>
      <c r="Q30">
        <v>0</v>
      </c>
      <c r="S30" s="44">
        <v>2</v>
      </c>
      <c r="T30">
        <v>4</v>
      </c>
      <c r="U30">
        <v>7</v>
      </c>
      <c r="V30">
        <v>0</v>
      </c>
      <c r="X30" s="12">
        <f t="shared" si="1"/>
        <v>2540</v>
      </c>
      <c r="Y30" s="12">
        <f t="shared" si="2"/>
        <v>1800</v>
      </c>
      <c r="Z30" s="12">
        <f t="shared" si="3"/>
        <v>2600</v>
      </c>
      <c r="AA30" s="12">
        <f t="shared" si="4"/>
        <v>1140</v>
      </c>
    </row>
    <row r="31" spans="9:27">
      <c r="I31" s="44">
        <v>340</v>
      </c>
      <c r="J31">
        <v>0</v>
      </c>
      <c r="K31">
        <v>330</v>
      </c>
      <c r="L31">
        <v>1120</v>
      </c>
      <c r="N31" s="44">
        <v>0</v>
      </c>
      <c r="O31">
        <v>300</v>
      </c>
      <c r="P31">
        <v>290</v>
      </c>
      <c r="Q31">
        <v>0</v>
      </c>
      <c r="S31" s="44">
        <v>2</v>
      </c>
      <c r="T31">
        <v>0</v>
      </c>
      <c r="U31">
        <v>3</v>
      </c>
      <c r="V31">
        <v>10</v>
      </c>
      <c r="X31" s="12">
        <f t="shared" si="1"/>
        <v>340</v>
      </c>
      <c r="Y31" s="12">
        <f t="shared" si="2"/>
        <v>300</v>
      </c>
      <c r="Z31" s="12">
        <f t="shared" si="3"/>
        <v>620</v>
      </c>
      <c r="AA31" s="12">
        <f t="shared" si="4"/>
        <v>1120</v>
      </c>
    </row>
    <row r="32" spans="9:27">
      <c r="I32" s="44">
        <v>0</v>
      </c>
      <c r="J32">
        <v>100</v>
      </c>
      <c r="K32">
        <v>120</v>
      </c>
      <c r="L32">
        <v>600</v>
      </c>
      <c r="N32" s="44">
        <v>360</v>
      </c>
      <c r="O32">
        <v>610</v>
      </c>
      <c r="P32">
        <v>440</v>
      </c>
      <c r="Q32">
        <v>0</v>
      </c>
      <c r="S32" s="44">
        <v>0</v>
      </c>
      <c r="T32">
        <v>1</v>
      </c>
      <c r="U32">
        <v>1</v>
      </c>
      <c r="V32">
        <v>5</v>
      </c>
      <c r="X32" s="12">
        <f t="shared" si="1"/>
        <v>360</v>
      </c>
      <c r="Y32" s="12">
        <f t="shared" si="2"/>
        <v>710</v>
      </c>
      <c r="Z32" s="12">
        <f t="shared" si="3"/>
        <v>560</v>
      </c>
      <c r="AA32" s="12">
        <f t="shared" si="4"/>
        <v>600</v>
      </c>
    </row>
    <row r="33" spans="9:27">
      <c r="I33" s="44">
        <v>270</v>
      </c>
      <c r="J33">
        <v>0</v>
      </c>
      <c r="K33">
        <v>240</v>
      </c>
      <c r="L33">
        <v>300</v>
      </c>
      <c r="N33" s="44">
        <v>270</v>
      </c>
      <c r="O33">
        <v>440</v>
      </c>
      <c r="P33">
        <v>1360</v>
      </c>
      <c r="Q33">
        <v>0</v>
      </c>
      <c r="S33" s="44">
        <v>2</v>
      </c>
      <c r="T33">
        <v>0</v>
      </c>
      <c r="U33">
        <v>2</v>
      </c>
      <c r="V33">
        <v>1</v>
      </c>
      <c r="X33" s="12">
        <f t="shared" si="1"/>
        <v>540</v>
      </c>
      <c r="Y33" s="12">
        <f t="shared" si="2"/>
        <v>440</v>
      </c>
      <c r="Z33" s="12">
        <f t="shared" si="3"/>
        <v>1600</v>
      </c>
      <c r="AA33" s="12">
        <f t="shared" si="4"/>
        <v>300</v>
      </c>
    </row>
    <row r="34" spans="9:27">
      <c r="I34" s="44">
        <v>140</v>
      </c>
      <c r="J34">
        <v>100</v>
      </c>
      <c r="K34">
        <v>590</v>
      </c>
      <c r="L34">
        <v>980</v>
      </c>
      <c r="N34" s="44">
        <v>600</v>
      </c>
      <c r="O34">
        <v>100</v>
      </c>
      <c r="P34">
        <v>570</v>
      </c>
      <c r="Q34">
        <v>0</v>
      </c>
      <c r="S34" s="44">
        <v>1</v>
      </c>
      <c r="T34">
        <v>1</v>
      </c>
      <c r="U34">
        <v>4</v>
      </c>
      <c r="V34">
        <v>8</v>
      </c>
      <c r="X34" s="12">
        <f t="shared" si="1"/>
        <v>740</v>
      </c>
      <c r="Y34" s="12">
        <f t="shared" si="2"/>
        <v>200</v>
      </c>
      <c r="Z34" s="12">
        <f t="shared" si="3"/>
        <v>1160</v>
      </c>
      <c r="AA34" s="12">
        <f t="shared" si="4"/>
        <v>980</v>
      </c>
    </row>
    <row r="35" spans="9:27">
      <c r="I35" s="44">
        <v>0</v>
      </c>
      <c r="J35">
        <v>320</v>
      </c>
      <c r="K35">
        <v>320</v>
      </c>
      <c r="L35">
        <v>500</v>
      </c>
      <c r="N35" s="44">
        <v>100</v>
      </c>
      <c r="O35">
        <v>160</v>
      </c>
      <c r="P35">
        <v>280</v>
      </c>
      <c r="Q35">
        <v>0</v>
      </c>
      <c r="S35" s="44">
        <v>0</v>
      </c>
      <c r="T35">
        <v>3</v>
      </c>
      <c r="U35">
        <v>2</v>
      </c>
      <c r="V35">
        <v>3</v>
      </c>
      <c r="X35" s="12">
        <f t="shared" si="1"/>
        <v>100</v>
      </c>
      <c r="Y35" s="12">
        <f t="shared" si="2"/>
        <v>480</v>
      </c>
      <c r="Z35" s="12">
        <f t="shared" si="3"/>
        <v>600</v>
      </c>
      <c r="AA35" s="12">
        <f t="shared" si="4"/>
        <v>500</v>
      </c>
    </row>
    <row r="36" spans="9:27">
      <c r="I36" s="44">
        <v>1660</v>
      </c>
      <c r="J36">
        <v>100</v>
      </c>
      <c r="K36">
        <v>0</v>
      </c>
      <c r="L36">
        <v>380</v>
      </c>
      <c r="N36" s="44">
        <v>830</v>
      </c>
      <c r="O36">
        <v>0</v>
      </c>
      <c r="P36">
        <v>80</v>
      </c>
      <c r="Q36">
        <v>0</v>
      </c>
      <c r="S36" s="44">
        <v>13</v>
      </c>
      <c r="T36">
        <v>1</v>
      </c>
      <c r="U36">
        <v>0</v>
      </c>
      <c r="V36">
        <v>2</v>
      </c>
      <c r="X36" s="12">
        <f t="shared" si="1"/>
        <v>2490</v>
      </c>
      <c r="Y36" s="12">
        <f t="shared" si="2"/>
        <v>100</v>
      </c>
      <c r="Z36" s="12">
        <f t="shared" si="3"/>
        <v>80</v>
      </c>
      <c r="AA36" s="12">
        <f t="shared" si="4"/>
        <v>380</v>
      </c>
    </row>
    <row r="37" spans="9:27">
      <c r="I37" s="44">
        <v>110</v>
      </c>
      <c r="J37">
        <v>320</v>
      </c>
      <c r="K37">
        <v>190</v>
      </c>
      <c r="L37">
        <v>1480</v>
      </c>
      <c r="N37" s="44">
        <v>150</v>
      </c>
      <c r="O37">
        <v>590</v>
      </c>
      <c r="P37">
        <v>150</v>
      </c>
      <c r="Q37">
        <v>0</v>
      </c>
      <c r="S37" s="44">
        <v>1</v>
      </c>
      <c r="T37">
        <v>3</v>
      </c>
      <c r="U37">
        <v>1</v>
      </c>
      <c r="V37">
        <v>13</v>
      </c>
      <c r="X37" s="12">
        <f t="shared" si="1"/>
        <v>260</v>
      </c>
      <c r="Y37" s="12">
        <f t="shared" si="2"/>
        <v>910</v>
      </c>
      <c r="Z37" s="12">
        <f t="shared" si="3"/>
        <v>340</v>
      </c>
      <c r="AA37" s="12">
        <f t="shared" si="4"/>
        <v>1480</v>
      </c>
    </row>
    <row r="38" spans="9:27">
      <c r="I38" s="44">
        <v>2800</v>
      </c>
      <c r="J38">
        <v>1840</v>
      </c>
      <c r="K38">
        <v>1010</v>
      </c>
      <c r="L38">
        <v>1500</v>
      </c>
      <c r="N38" s="44">
        <v>1060</v>
      </c>
      <c r="O38">
        <v>230</v>
      </c>
      <c r="P38">
        <v>2020</v>
      </c>
      <c r="Q38">
        <v>0</v>
      </c>
      <c r="S38" s="44">
        <v>24</v>
      </c>
      <c r="T38">
        <v>17</v>
      </c>
      <c r="U38">
        <v>9</v>
      </c>
      <c r="V38">
        <v>13</v>
      </c>
      <c r="X38" s="12">
        <f t="shared" si="1"/>
        <v>3860</v>
      </c>
      <c r="Y38" s="12">
        <f t="shared" si="2"/>
        <v>2070</v>
      </c>
      <c r="Z38" s="12">
        <f t="shared" si="3"/>
        <v>3030</v>
      </c>
      <c r="AA38" s="12">
        <f t="shared" si="4"/>
        <v>1500</v>
      </c>
    </row>
    <row r="39" spans="9:27">
      <c r="I39" s="44">
        <v>330</v>
      </c>
      <c r="J39">
        <v>320</v>
      </c>
      <c r="K39">
        <v>500</v>
      </c>
      <c r="L39">
        <v>420</v>
      </c>
      <c r="N39" s="44">
        <v>290</v>
      </c>
      <c r="O39">
        <v>700</v>
      </c>
      <c r="P39">
        <v>220</v>
      </c>
      <c r="Q39">
        <v>0</v>
      </c>
      <c r="S39" s="44">
        <v>3</v>
      </c>
      <c r="T39">
        <v>3</v>
      </c>
      <c r="U39">
        <v>5</v>
      </c>
      <c r="V39">
        <v>3</v>
      </c>
      <c r="X39" s="12">
        <f t="shared" si="1"/>
        <v>620</v>
      </c>
      <c r="Y39" s="12">
        <f t="shared" si="2"/>
        <v>1020</v>
      </c>
      <c r="Z39" s="12">
        <f t="shared" si="3"/>
        <v>720</v>
      </c>
      <c r="AA39" s="12">
        <f t="shared" si="4"/>
        <v>420</v>
      </c>
    </row>
    <row r="40" spans="9:27">
      <c r="I40" s="44">
        <v>3640</v>
      </c>
      <c r="J40">
        <v>2250</v>
      </c>
      <c r="K40">
        <v>120</v>
      </c>
      <c r="L40">
        <v>1320</v>
      </c>
      <c r="N40" s="44">
        <v>1120</v>
      </c>
      <c r="O40">
        <v>240</v>
      </c>
      <c r="P40">
        <v>220</v>
      </c>
      <c r="Q40">
        <v>0</v>
      </c>
      <c r="S40" s="44">
        <v>26</v>
      </c>
      <c r="T40">
        <v>21</v>
      </c>
      <c r="U40">
        <v>1</v>
      </c>
      <c r="V40">
        <v>11</v>
      </c>
      <c r="X40" s="12">
        <f t="shared" si="1"/>
        <v>4760</v>
      </c>
      <c r="Y40" s="12">
        <f t="shared" si="2"/>
        <v>2490</v>
      </c>
      <c r="Z40" s="12">
        <f t="shared" si="3"/>
        <v>340</v>
      </c>
      <c r="AA40" s="12">
        <f t="shared" si="4"/>
        <v>1320</v>
      </c>
    </row>
    <row r="41" spans="9:27">
      <c r="I41" s="44">
        <v>320</v>
      </c>
      <c r="J41">
        <v>140</v>
      </c>
      <c r="K41">
        <v>2270</v>
      </c>
      <c r="L41">
        <v>820</v>
      </c>
      <c r="N41" s="44">
        <v>240</v>
      </c>
      <c r="O41">
        <v>600</v>
      </c>
      <c r="P41">
        <v>1650</v>
      </c>
      <c r="Q41">
        <v>0</v>
      </c>
      <c r="S41" s="44">
        <v>3</v>
      </c>
      <c r="T41">
        <v>6</v>
      </c>
      <c r="U41">
        <v>21</v>
      </c>
      <c r="V41">
        <v>7</v>
      </c>
      <c r="X41" s="12">
        <f t="shared" si="1"/>
        <v>560</v>
      </c>
      <c r="Y41" s="12">
        <f t="shared" si="2"/>
        <v>740</v>
      </c>
      <c r="Z41" s="12">
        <f t="shared" si="3"/>
        <v>3920</v>
      </c>
      <c r="AA41" s="12">
        <f t="shared" si="4"/>
        <v>820</v>
      </c>
    </row>
    <row r="42" spans="9:27">
      <c r="I42" s="44">
        <v>2330</v>
      </c>
      <c r="J42">
        <v>120</v>
      </c>
      <c r="K42">
        <v>2890</v>
      </c>
      <c r="L42">
        <v>2300</v>
      </c>
      <c r="N42" s="44">
        <v>1170</v>
      </c>
      <c r="O42">
        <v>200</v>
      </c>
      <c r="P42">
        <v>290</v>
      </c>
      <c r="Q42">
        <v>0</v>
      </c>
      <c r="S42" s="44">
        <v>25</v>
      </c>
      <c r="T42">
        <v>1</v>
      </c>
      <c r="U42">
        <v>22</v>
      </c>
      <c r="V42">
        <v>21</v>
      </c>
      <c r="X42" s="12">
        <f t="shared" si="1"/>
        <v>3500</v>
      </c>
      <c r="Y42" s="12">
        <f t="shared" si="2"/>
        <v>320</v>
      </c>
      <c r="Z42" s="12">
        <f t="shared" si="3"/>
        <v>3180</v>
      </c>
      <c r="AA42" s="12">
        <f t="shared" si="4"/>
        <v>2300</v>
      </c>
    </row>
    <row r="43" spans="9:27">
      <c r="I43" s="44">
        <v>100</v>
      </c>
      <c r="J43">
        <v>5420</v>
      </c>
      <c r="K43">
        <v>510</v>
      </c>
      <c r="L43">
        <v>740</v>
      </c>
      <c r="N43" s="44">
        <v>80</v>
      </c>
      <c r="O43">
        <v>500</v>
      </c>
      <c r="P43">
        <v>390</v>
      </c>
      <c r="Q43">
        <v>0</v>
      </c>
      <c r="S43" s="44">
        <v>1</v>
      </c>
      <c r="T43">
        <v>39</v>
      </c>
      <c r="U43">
        <v>3</v>
      </c>
      <c r="V43">
        <v>6</v>
      </c>
      <c r="X43" s="12">
        <f t="shared" si="1"/>
        <v>180</v>
      </c>
      <c r="Y43" s="12">
        <f t="shared" si="2"/>
        <v>5920</v>
      </c>
      <c r="Z43" s="12">
        <f t="shared" si="3"/>
        <v>900</v>
      </c>
      <c r="AA43" s="12">
        <f t="shared" si="4"/>
        <v>740</v>
      </c>
    </row>
    <row r="44" spans="9:27">
      <c r="I44" s="44">
        <v>2180</v>
      </c>
      <c r="J44">
        <v>4290</v>
      </c>
      <c r="K44">
        <v>410</v>
      </c>
      <c r="L44">
        <v>886</v>
      </c>
      <c r="N44" s="44">
        <v>1000</v>
      </c>
      <c r="O44">
        <v>3330</v>
      </c>
      <c r="P44">
        <v>630</v>
      </c>
      <c r="Q44">
        <v>654</v>
      </c>
      <c r="S44" s="44">
        <v>17</v>
      </c>
      <c r="T44">
        <v>40</v>
      </c>
      <c r="U44">
        <v>4</v>
      </c>
      <c r="V44">
        <v>8</v>
      </c>
      <c r="X44" s="12">
        <f t="shared" si="1"/>
        <v>3180</v>
      </c>
      <c r="Y44" s="12">
        <f t="shared" si="2"/>
        <v>7620</v>
      </c>
      <c r="Z44" s="12">
        <f t="shared" si="3"/>
        <v>1040</v>
      </c>
      <c r="AA44" s="12">
        <f t="shared" si="4"/>
        <v>1540</v>
      </c>
    </row>
    <row r="45" spans="9:27">
      <c r="I45" s="44">
        <v>140</v>
      </c>
      <c r="J45">
        <v>100</v>
      </c>
      <c r="K45">
        <v>5510</v>
      </c>
      <c r="L45">
        <v>880</v>
      </c>
      <c r="N45" s="44">
        <v>160</v>
      </c>
      <c r="O45">
        <v>200</v>
      </c>
      <c r="P45">
        <v>1250</v>
      </c>
      <c r="Q45">
        <v>208</v>
      </c>
      <c r="S45" s="44">
        <v>1</v>
      </c>
      <c r="T45">
        <v>1</v>
      </c>
      <c r="U45">
        <v>52</v>
      </c>
      <c r="V45">
        <v>7</v>
      </c>
      <c r="X45" s="12">
        <f t="shared" si="1"/>
        <v>300</v>
      </c>
      <c r="Y45" s="12">
        <f t="shared" si="2"/>
        <v>300</v>
      </c>
      <c r="Z45" s="12">
        <f t="shared" si="3"/>
        <v>6760</v>
      </c>
      <c r="AA45" s="12">
        <f t="shared" si="4"/>
        <v>1088</v>
      </c>
    </row>
    <row r="46" spans="9:27">
      <c r="I46" s="44">
        <v>2700</v>
      </c>
      <c r="J46">
        <v>1110</v>
      </c>
      <c r="K46">
        <v>2510</v>
      </c>
      <c r="L46">
        <v>950</v>
      </c>
      <c r="N46" s="44">
        <v>2260</v>
      </c>
      <c r="O46">
        <v>2930</v>
      </c>
      <c r="P46">
        <v>10</v>
      </c>
      <c r="Q46">
        <v>130</v>
      </c>
      <c r="S46" s="44">
        <v>22</v>
      </c>
      <c r="T46">
        <v>11</v>
      </c>
      <c r="U46">
        <v>18</v>
      </c>
      <c r="V46">
        <v>8</v>
      </c>
      <c r="X46" s="12">
        <f t="shared" si="1"/>
        <v>4960</v>
      </c>
      <c r="Y46" s="12">
        <f t="shared" si="2"/>
        <v>4040</v>
      </c>
      <c r="Z46" s="12">
        <f t="shared" si="3"/>
        <v>2520</v>
      </c>
      <c r="AA46" s="12">
        <f t="shared" si="4"/>
        <v>1080</v>
      </c>
    </row>
    <row r="47" spans="9:27">
      <c r="I47" s="44">
        <v>1280</v>
      </c>
      <c r="J47">
        <v>0</v>
      </c>
      <c r="K47">
        <v>780</v>
      </c>
      <c r="L47">
        <v>1080</v>
      </c>
      <c r="N47" s="44">
        <v>4980</v>
      </c>
      <c r="O47">
        <v>620</v>
      </c>
      <c r="P47">
        <v>1250</v>
      </c>
      <c r="Q47">
        <v>740</v>
      </c>
      <c r="S47" s="44">
        <v>11</v>
      </c>
      <c r="T47">
        <v>0</v>
      </c>
      <c r="U47">
        <v>4</v>
      </c>
      <c r="V47">
        <v>9</v>
      </c>
      <c r="X47" s="12">
        <f t="shared" si="1"/>
        <v>6260</v>
      </c>
      <c r="Y47" s="12">
        <f t="shared" si="2"/>
        <v>620</v>
      </c>
      <c r="Z47" s="12">
        <f t="shared" si="3"/>
        <v>2030</v>
      </c>
      <c r="AA47" s="12">
        <f t="shared" si="4"/>
        <v>1820</v>
      </c>
    </row>
    <row r="48" spans="9:27">
      <c r="I48" s="44">
        <v>0</v>
      </c>
      <c r="J48">
        <v>0</v>
      </c>
      <c r="K48">
        <v>940</v>
      </c>
      <c r="L48">
        <v>2732</v>
      </c>
      <c r="N48" s="44">
        <v>500</v>
      </c>
      <c r="O48">
        <v>3400</v>
      </c>
      <c r="P48">
        <v>580</v>
      </c>
      <c r="Q48">
        <v>321</v>
      </c>
      <c r="S48" s="44">
        <v>0</v>
      </c>
      <c r="T48">
        <v>0</v>
      </c>
      <c r="U48">
        <v>9</v>
      </c>
      <c r="V48">
        <v>22</v>
      </c>
      <c r="X48" s="12">
        <f t="shared" si="1"/>
        <v>500</v>
      </c>
      <c r="Y48" s="12">
        <f t="shared" si="2"/>
        <v>3400</v>
      </c>
      <c r="Z48" s="12">
        <f t="shared" si="3"/>
        <v>1520</v>
      </c>
      <c r="AA48" s="12">
        <f t="shared" si="4"/>
        <v>3053</v>
      </c>
    </row>
    <row r="49" spans="9:27">
      <c r="I49" s="44">
        <v>180</v>
      </c>
      <c r="J49">
        <v>300</v>
      </c>
      <c r="K49">
        <v>2530</v>
      </c>
      <c r="L49">
        <v>840</v>
      </c>
      <c r="N49" s="44">
        <v>830</v>
      </c>
      <c r="O49">
        <v>4860</v>
      </c>
      <c r="P49">
        <v>810</v>
      </c>
      <c r="Q49">
        <v>147</v>
      </c>
      <c r="S49" s="44">
        <v>1</v>
      </c>
      <c r="T49">
        <v>3</v>
      </c>
      <c r="U49">
        <v>23</v>
      </c>
      <c r="V49">
        <v>6</v>
      </c>
      <c r="X49" s="12">
        <f t="shared" si="1"/>
        <v>1010</v>
      </c>
      <c r="Y49" s="12">
        <f t="shared" si="2"/>
        <v>5160</v>
      </c>
      <c r="Z49" s="12">
        <f t="shared" si="3"/>
        <v>3340</v>
      </c>
      <c r="AA49" s="12">
        <f t="shared" si="4"/>
        <v>987</v>
      </c>
    </row>
    <row r="50" spans="9:27">
      <c r="I50" s="44">
        <v>0</v>
      </c>
      <c r="J50">
        <v>0</v>
      </c>
      <c r="K50">
        <v>1530</v>
      </c>
      <c r="L50">
        <v>380</v>
      </c>
      <c r="N50" s="44">
        <v>260</v>
      </c>
      <c r="O50">
        <v>460</v>
      </c>
      <c r="P50">
        <v>30</v>
      </c>
      <c r="Q50">
        <v>180</v>
      </c>
      <c r="S50" s="44">
        <v>0</v>
      </c>
      <c r="T50">
        <v>0</v>
      </c>
      <c r="U50">
        <v>15</v>
      </c>
      <c r="V50">
        <v>3</v>
      </c>
      <c r="X50" s="12">
        <f t="shared" si="1"/>
        <v>260</v>
      </c>
      <c r="Y50" s="12">
        <f t="shared" si="2"/>
        <v>460</v>
      </c>
      <c r="Z50" s="12">
        <f t="shared" si="3"/>
        <v>1560</v>
      </c>
      <c r="AA50" s="12">
        <f t="shared" si="4"/>
        <v>560</v>
      </c>
    </row>
    <row r="51" spans="9:27">
      <c r="I51" s="44">
        <v>200</v>
      </c>
      <c r="J51">
        <v>330</v>
      </c>
      <c r="K51">
        <v>460</v>
      </c>
      <c r="L51">
        <v>840</v>
      </c>
      <c r="N51" s="44">
        <v>480</v>
      </c>
      <c r="O51">
        <v>1970</v>
      </c>
      <c r="P51">
        <v>0</v>
      </c>
      <c r="Q51">
        <v>80</v>
      </c>
      <c r="S51" s="44">
        <v>2</v>
      </c>
      <c r="T51">
        <v>2</v>
      </c>
      <c r="U51">
        <v>2</v>
      </c>
      <c r="V51">
        <v>5</v>
      </c>
      <c r="X51" s="12">
        <f t="shared" si="1"/>
        <v>680</v>
      </c>
      <c r="Y51" s="12">
        <f t="shared" si="2"/>
        <v>2300</v>
      </c>
      <c r="Z51" s="12">
        <f t="shared" si="3"/>
        <v>460</v>
      </c>
      <c r="AA51" s="12">
        <f t="shared" si="4"/>
        <v>920</v>
      </c>
    </row>
    <row r="52" spans="9:27">
      <c r="I52" s="44">
        <v>0</v>
      </c>
      <c r="J52">
        <v>6100</v>
      </c>
      <c r="K52">
        <v>900</v>
      </c>
      <c r="L52">
        <v>1240</v>
      </c>
      <c r="N52" s="44">
        <v>420</v>
      </c>
      <c r="O52">
        <v>0</v>
      </c>
      <c r="P52">
        <v>780</v>
      </c>
      <c r="Q52">
        <v>420</v>
      </c>
      <c r="S52" s="44">
        <v>0</v>
      </c>
      <c r="T52">
        <v>0</v>
      </c>
      <c r="U52">
        <v>6</v>
      </c>
      <c r="V52">
        <v>8</v>
      </c>
      <c r="X52" s="12">
        <f t="shared" si="1"/>
        <v>420</v>
      </c>
      <c r="Y52" s="12">
        <f t="shared" si="2"/>
        <v>6100</v>
      </c>
      <c r="Z52" s="12">
        <f t="shared" si="3"/>
        <v>1680</v>
      </c>
      <c r="AA52" s="12">
        <f t="shared" si="4"/>
        <v>1660</v>
      </c>
    </row>
    <row r="53" spans="9:27">
      <c r="I53" s="44">
        <v>740</v>
      </c>
      <c r="J53">
        <v>60</v>
      </c>
      <c r="K53">
        <v>910</v>
      </c>
      <c r="L53">
        <v>1840</v>
      </c>
      <c r="N53" s="44">
        <v>0</v>
      </c>
      <c r="O53">
        <v>0</v>
      </c>
      <c r="P53">
        <v>70</v>
      </c>
      <c r="Q53">
        <v>0</v>
      </c>
      <c r="S53" s="44">
        <v>1</v>
      </c>
      <c r="T53">
        <v>0</v>
      </c>
      <c r="U53">
        <v>7</v>
      </c>
      <c r="V53">
        <v>17</v>
      </c>
      <c r="X53" s="12">
        <f t="shared" si="1"/>
        <v>740</v>
      </c>
      <c r="Y53" s="12">
        <f t="shared" si="2"/>
        <v>60</v>
      </c>
      <c r="Z53" s="12">
        <f t="shared" si="3"/>
        <v>980</v>
      </c>
      <c r="AA53" s="12">
        <f t="shared" si="4"/>
        <v>1840</v>
      </c>
    </row>
    <row r="54" spans="9:27">
      <c r="I54" s="44">
        <v>80</v>
      </c>
      <c r="J54">
        <v>1420</v>
      </c>
      <c r="K54">
        <v>600</v>
      </c>
      <c r="L54">
        <v>2840</v>
      </c>
      <c r="N54" s="44">
        <v>0</v>
      </c>
      <c r="O54">
        <v>0</v>
      </c>
      <c r="P54">
        <v>0</v>
      </c>
      <c r="Q54">
        <v>1020</v>
      </c>
      <c r="S54" s="44">
        <v>0</v>
      </c>
      <c r="T54">
        <v>2</v>
      </c>
      <c r="U54">
        <v>4</v>
      </c>
      <c r="V54">
        <v>26</v>
      </c>
      <c r="X54" s="12">
        <f t="shared" si="1"/>
        <v>80</v>
      </c>
      <c r="Y54" s="12">
        <f t="shared" si="2"/>
        <v>1420</v>
      </c>
      <c r="Z54" s="12">
        <f t="shared" si="3"/>
        <v>600</v>
      </c>
      <c r="AA54" s="12">
        <f t="shared" si="4"/>
        <v>3860</v>
      </c>
    </row>
    <row r="55" spans="9:27">
      <c r="K55">
        <v>200</v>
      </c>
      <c r="L55">
        <v>1620</v>
      </c>
      <c r="P55">
        <v>120</v>
      </c>
      <c r="Q55">
        <v>450</v>
      </c>
      <c r="U55">
        <v>2</v>
      </c>
      <c r="V55">
        <v>0</v>
      </c>
      <c r="X55" s="12">
        <f t="shared" si="1"/>
        <v>0</v>
      </c>
      <c r="Y55" s="12">
        <f t="shared" si="2"/>
        <v>0</v>
      </c>
      <c r="Z55" s="12">
        <f t="shared" si="3"/>
        <v>320</v>
      </c>
      <c r="AA55" s="12">
        <f t="shared" si="4"/>
        <v>2070</v>
      </c>
    </row>
    <row r="56" spans="9:27">
      <c r="K56">
        <v>340</v>
      </c>
      <c r="L56">
        <v>880</v>
      </c>
      <c r="P56">
        <v>220</v>
      </c>
      <c r="Q56">
        <v>94</v>
      </c>
      <c r="U56">
        <v>3</v>
      </c>
      <c r="V56">
        <v>7</v>
      </c>
      <c r="X56" s="12">
        <f t="shared" si="1"/>
        <v>0</v>
      </c>
      <c r="Y56" s="12">
        <f t="shared" si="2"/>
        <v>0</v>
      </c>
      <c r="Z56" s="12">
        <f t="shared" si="3"/>
        <v>560</v>
      </c>
      <c r="AA56" s="12">
        <f t="shared" si="4"/>
        <v>974</v>
      </c>
    </row>
    <row r="57" spans="9:27">
      <c r="K57">
        <v>3100</v>
      </c>
      <c r="L57">
        <v>1080</v>
      </c>
      <c r="P57">
        <v>510</v>
      </c>
      <c r="Q57">
        <v>430</v>
      </c>
      <c r="U57">
        <v>31</v>
      </c>
      <c r="V57">
        <v>5</v>
      </c>
      <c r="X57" s="12">
        <f t="shared" si="1"/>
        <v>0</v>
      </c>
      <c r="Y57" s="12">
        <f t="shared" si="2"/>
        <v>0</v>
      </c>
      <c r="Z57" s="12">
        <f t="shared" si="3"/>
        <v>3610</v>
      </c>
      <c r="AA57" s="12">
        <f t="shared" si="4"/>
        <v>1510</v>
      </c>
    </row>
    <row r="58" spans="9:27">
      <c r="K58">
        <v>1020</v>
      </c>
      <c r="L58">
        <v>1480</v>
      </c>
      <c r="P58">
        <v>0</v>
      </c>
      <c r="Q58">
        <v>0</v>
      </c>
      <c r="U58">
        <v>7</v>
      </c>
      <c r="V58">
        <v>12</v>
      </c>
      <c r="X58" s="12">
        <f t="shared" si="1"/>
        <v>0</v>
      </c>
      <c r="Y58" s="12">
        <f t="shared" si="2"/>
        <v>0</v>
      </c>
      <c r="Z58" s="12">
        <f t="shared" si="3"/>
        <v>1020</v>
      </c>
      <c r="AA58" s="12">
        <f t="shared" si="4"/>
        <v>1480</v>
      </c>
    </row>
    <row r="59" spans="9:27">
      <c r="K59">
        <v>1760</v>
      </c>
      <c r="L59">
        <v>810</v>
      </c>
      <c r="P59">
        <v>620</v>
      </c>
      <c r="Q59">
        <v>660</v>
      </c>
      <c r="U59">
        <v>15</v>
      </c>
      <c r="V59">
        <v>6</v>
      </c>
      <c r="X59" s="12">
        <f t="shared" si="1"/>
        <v>0</v>
      </c>
      <c r="Y59" s="12">
        <f t="shared" si="2"/>
        <v>0</v>
      </c>
      <c r="Z59" s="12">
        <f t="shared" si="3"/>
        <v>2380</v>
      </c>
      <c r="AA59" s="12">
        <f t="shared" si="4"/>
        <v>1470</v>
      </c>
    </row>
    <row r="60" spans="9:27">
      <c r="K60">
        <v>2960</v>
      </c>
      <c r="L60">
        <v>600</v>
      </c>
      <c r="P60">
        <v>360</v>
      </c>
      <c r="Q60">
        <v>90</v>
      </c>
      <c r="U60">
        <v>26</v>
      </c>
      <c r="V60">
        <v>5</v>
      </c>
      <c r="X60" s="12">
        <f t="shared" si="1"/>
        <v>0</v>
      </c>
      <c r="Y60" s="12">
        <f t="shared" si="2"/>
        <v>0</v>
      </c>
      <c r="Z60" s="12">
        <f t="shared" si="3"/>
        <v>3320</v>
      </c>
      <c r="AA60" s="12">
        <f t="shared" si="4"/>
        <v>690</v>
      </c>
    </row>
    <row r="61" spans="9:27">
      <c r="K61">
        <v>4170</v>
      </c>
      <c r="L61">
        <v>2500</v>
      </c>
      <c r="P61">
        <v>1400</v>
      </c>
      <c r="Q61">
        <v>760</v>
      </c>
      <c r="U61">
        <v>40</v>
      </c>
      <c r="V61">
        <v>16</v>
      </c>
      <c r="X61" s="12">
        <f t="shared" si="1"/>
        <v>0</v>
      </c>
      <c r="Y61" s="12">
        <f t="shared" si="2"/>
        <v>0</v>
      </c>
      <c r="Z61" s="12">
        <f t="shared" si="3"/>
        <v>5570</v>
      </c>
      <c r="AA61" s="12">
        <f t="shared" si="4"/>
        <v>3260</v>
      </c>
    </row>
    <row r="62" spans="9:27">
      <c r="K62">
        <v>100</v>
      </c>
      <c r="L62">
        <v>820</v>
      </c>
      <c r="P62">
        <v>200</v>
      </c>
      <c r="Q62">
        <v>747</v>
      </c>
      <c r="U62">
        <v>1</v>
      </c>
      <c r="V62">
        <v>8</v>
      </c>
      <c r="X62" s="12">
        <f t="shared" si="1"/>
        <v>0</v>
      </c>
      <c r="Y62" s="12">
        <f t="shared" si="2"/>
        <v>0</v>
      </c>
      <c r="Z62" s="12">
        <f t="shared" si="3"/>
        <v>300</v>
      </c>
      <c r="AA62" s="12">
        <f t="shared" si="4"/>
        <v>1567</v>
      </c>
    </row>
    <row r="63" spans="9:27">
      <c r="K63">
        <v>220</v>
      </c>
      <c r="L63">
        <v>0</v>
      </c>
      <c r="P63">
        <v>1120</v>
      </c>
      <c r="Q63">
        <v>0</v>
      </c>
      <c r="U63">
        <v>2</v>
      </c>
      <c r="V63">
        <v>0</v>
      </c>
      <c r="X63" s="12">
        <f t="shared" si="1"/>
        <v>0</v>
      </c>
      <c r="Y63" s="12">
        <f t="shared" si="2"/>
        <v>0</v>
      </c>
      <c r="Z63" s="12">
        <f t="shared" si="3"/>
        <v>1340</v>
      </c>
      <c r="AA63" s="12">
        <f t="shared" si="4"/>
        <v>0</v>
      </c>
    </row>
    <row r="64" spans="9:27">
      <c r="K64">
        <v>1010</v>
      </c>
      <c r="L64">
        <v>480</v>
      </c>
      <c r="P64">
        <v>450</v>
      </c>
      <c r="Q64">
        <v>100</v>
      </c>
      <c r="U64">
        <v>7</v>
      </c>
      <c r="V64">
        <v>3</v>
      </c>
      <c r="X64" s="12">
        <f t="shared" si="1"/>
        <v>0</v>
      </c>
      <c r="Y64" s="12">
        <f t="shared" si="2"/>
        <v>0</v>
      </c>
      <c r="Z64" s="12">
        <f t="shared" si="3"/>
        <v>1460</v>
      </c>
      <c r="AA64" s="12">
        <f t="shared" si="4"/>
        <v>580</v>
      </c>
    </row>
    <row r="65" spans="11:27">
      <c r="K65">
        <v>680</v>
      </c>
      <c r="L65">
        <v>460</v>
      </c>
      <c r="P65">
        <v>0</v>
      </c>
      <c r="Q65">
        <v>440</v>
      </c>
      <c r="U65">
        <v>5</v>
      </c>
      <c r="V65">
        <v>4</v>
      </c>
      <c r="X65" s="12">
        <f t="shared" si="1"/>
        <v>0</v>
      </c>
      <c r="Y65" s="12">
        <f t="shared" si="2"/>
        <v>0</v>
      </c>
      <c r="Z65" s="12">
        <f t="shared" si="3"/>
        <v>680</v>
      </c>
      <c r="AA65" s="12">
        <f t="shared" si="4"/>
        <v>900</v>
      </c>
    </row>
    <row r="66" spans="11:27">
      <c r="K66">
        <v>0</v>
      </c>
      <c r="L66">
        <v>1800</v>
      </c>
      <c r="P66">
        <v>800</v>
      </c>
      <c r="Q66">
        <v>0</v>
      </c>
      <c r="U66">
        <v>0</v>
      </c>
      <c r="V66">
        <v>8</v>
      </c>
      <c r="X66" s="12">
        <f t="shared" si="1"/>
        <v>0</v>
      </c>
      <c r="Y66" s="12">
        <f t="shared" si="2"/>
        <v>0</v>
      </c>
      <c r="Z66" s="12">
        <f t="shared" si="3"/>
        <v>800</v>
      </c>
      <c r="AA66" s="12">
        <f t="shared" si="4"/>
        <v>1800</v>
      </c>
    </row>
    <row r="67" spans="11:27">
      <c r="K67">
        <v>370</v>
      </c>
      <c r="L67">
        <v>2740</v>
      </c>
      <c r="P67">
        <v>130</v>
      </c>
      <c r="Q67">
        <v>470</v>
      </c>
      <c r="U67">
        <v>3</v>
      </c>
      <c r="V67">
        <v>22</v>
      </c>
      <c r="X67" s="12">
        <f t="shared" si="1"/>
        <v>0</v>
      </c>
      <c r="Y67" s="12">
        <f t="shared" si="2"/>
        <v>0</v>
      </c>
      <c r="Z67" s="12">
        <f t="shared" si="3"/>
        <v>500</v>
      </c>
      <c r="AA67" s="12">
        <f t="shared" si="4"/>
        <v>3210</v>
      </c>
    </row>
    <row r="68" spans="11:27">
      <c r="K68">
        <v>110</v>
      </c>
      <c r="L68">
        <v>740</v>
      </c>
      <c r="P68">
        <v>330</v>
      </c>
      <c r="Q68">
        <v>300</v>
      </c>
      <c r="U68">
        <v>1</v>
      </c>
      <c r="V68">
        <v>4</v>
      </c>
      <c r="X68" s="12">
        <f t="shared" ref="X68:X131" si="5">(I68+N68)</f>
        <v>0</v>
      </c>
      <c r="Y68" s="12">
        <f t="shared" ref="Y68:Y131" si="6">(J68+O68)</f>
        <v>0</v>
      </c>
      <c r="Z68" s="12">
        <f t="shared" ref="Z68:Z131" si="7">(K68+P68)</f>
        <v>440</v>
      </c>
      <c r="AA68" s="12">
        <f t="shared" ref="AA68:AA131" si="8">(L68+Q68)</f>
        <v>1040</v>
      </c>
    </row>
    <row r="69" spans="11:27">
      <c r="K69">
        <v>850</v>
      </c>
      <c r="L69">
        <v>2160</v>
      </c>
      <c r="P69">
        <v>0</v>
      </c>
      <c r="Q69">
        <v>500</v>
      </c>
      <c r="U69">
        <v>6</v>
      </c>
      <c r="V69">
        <v>15</v>
      </c>
      <c r="X69" s="12">
        <f t="shared" si="5"/>
        <v>0</v>
      </c>
      <c r="Y69" s="12">
        <f t="shared" si="6"/>
        <v>0</v>
      </c>
      <c r="Z69" s="12">
        <f t="shared" si="7"/>
        <v>850</v>
      </c>
      <c r="AA69" s="12">
        <f t="shared" si="8"/>
        <v>2660</v>
      </c>
    </row>
    <row r="70" spans="11:27">
      <c r="K70">
        <v>0</v>
      </c>
      <c r="L70">
        <v>300</v>
      </c>
      <c r="P70">
        <v>540</v>
      </c>
      <c r="Q70">
        <v>240</v>
      </c>
      <c r="U70">
        <v>0</v>
      </c>
      <c r="V70">
        <v>3</v>
      </c>
      <c r="X70" s="12">
        <f t="shared" si="5"/>
        <v>0</v>
      </c>
      <c r="Y70" s="12">
        <f t="shared" si="6"/>
        <v>0</v>
      </c>
      <c r="Z70" s="12">
        <f t="shared" si="7"/>
        <v>540</v>
      </c>
      <c r="AA70" s="12">
        <f t="shared" si="8"/>
        <v>540</v>
      </c>
    </row>
    <row r="71" spans="11:27">
      <c r="K71">
        <v>1900</v>
      </c>
      <c r="L71">
        <v>160</v>
      </c>
      <c r="P71">
        <v>2800</v>
      </c>
      <c r="Q71">
        <v>380</v>
      </c>
      <c r="U71">
        <v>13</v>
      </c>
      <c r="V71">
        <v>1</v>
      </c>
      <c r="X71" s="12">
        <f t="shared" si="5"/>
        <v>0</v>
      </c>
      <c r="Y71" s="12">
        <f t="shared" si="6"/>
        <v>0</v>
      </c>
      <c r="Z71" s="12">
        <f t="shared" si="7"/>
        <v>4700</v>
      </c>
      <c r="AA71" s="12">
        <f t="shared" si="8"/>
        <v>540</v>
      </c>
    </row>
    <row r="72" spans="11:27">
      <c r="K72">
        <v>480</v>
      </c>
      <c r="L72">
        <v>780</v>
      </c>
      <c r="P72">
        <v>0</v>
      </c>
      <c r="Q72">
        <v>260</v>
      </c>
      <c r="U72">
        <v>4</v>
      </c>
      <c r="V72">
        <v>7</v>
      </c>
      <c r="X72" s="12">
        <f t="shared" si="5"/>
        <v>0</v>
      </c>
      <c r="Y72" s="12">
        <f t="shared" si="6"/>
        <v>0</v>
      </c>
      <c r="Z72" s="12">
        <f t="shared" si="7"/>
        <v>480</v>
      </c>
      <c r="AA72" s="12">
        <f t="shared" si="8"/>
        <v>1040</v>
      </c>
    </row>
    <row r="73" spans="11:27">
      <c r="K73">
        <v>3800</v>
      </c>
      <c r="L73">
        <v>330</v>
      </c>
      <c r="P73">
        <v>0</v>
      </c>
      <c r="Q73">
        <v>190</v>
      </c>
      <c r="U73">
        <v>8</v>
      </c>
      <c r="V73">
        <v>3</v>
      </c>
      <c r="X73" s="12">
        <f t="shared" si="5"/>
        <v>0</v>
      </c>
      <c r="Y73" s="12">
        <f t="shared" si="6"/>
        <v>0</v>
      </c>
      <c r="Z73" s="12">
        <f t="shared" si="7"/>
        <v>3800</v>
      </c>
      <c r="AA73" s="12">
        <f t="shared" si="8"/>
        <v>520</v>
      </c>
    </row>
    <row r="74" spans="11:27">
      <c r="K74">
        <v>730</v>
      </c>
      <c r="L74">
        <v>730</v>
      </c>
      <c r="P74">
        <v>0</v>
      </c>
      <c r="Q74">
        <v>390</v>
      </c>
      <c r="U74">
        <v>1</v>
      </c>
      <c r="V74">
        <v>5</v>
      </c>
      <c r="X74" s="12">
        <f t="shared" si="5"/>
        <v>0</v>
      </c>
      <c r="Y74" s="12">
        <f t="shared" si="6"/>
        <v>0</v>
      </c>
      <c r="Z74" s="12">
        <f t="shared" si="7"/>
        <v>730</v>
      </c>
      <c r="AA74" s="12">
        <f t="shared" si="8"/>
        <v>1120</v>
      </c>
    </row>
    <row r="75" spans="11:27">
      <c r="K75">
        <v>80</v>
      </c>
      <c r="L75">
        <v>1960</v>
      </c>
      <c r="P75">
        <v>0</v>
      </c>
      <c r="Q75">
        <v>880</v>
      </c>
      <c r="U75">
        <v>0</v>
      </c>
      <c r="V75">
        <v>18</v>
      </c>
      <c r="X75" s="12">
        <f t="shared" si="5"/>
        <v>0</v>
      </c>
      <c r="Y75" s="12">
        <f t="shared" si="6"/>
        <v>0</v>
      </c>
      <c r="Z75" s="12">
        <f t="shared" si="7"/>
        <v>80</v>
      </c>
      <c r="AA75" s="12">
        <f t="shared" si="8"/>
        <v>2840</v>
      </c>
    </row>
    <row r="76" spans="11:27">
      <c r="L76">
        <v>114</v>
      </c>
      <c r="Q76">
        <v>366</v>
      </c>
      <c r="V76">
        <v>1</v>
      </c>
      <c r="X76" s="12">
        <f t="shared" si="5"/>
        <v>0</v>
      </c>
      <c r="Y76" s="12">
        <f t="shared" si="6"/>
        <v>0</v>
      </c>
      <c r="Z76" s="12">
        <f t="shared" si="7"/>
        <v>0</v>
      </c>
      <c r="AA76" s="12">
        <f t="shared" si="8"/>
        <v>480</v>
      </c>
    </row>
    <row r="77" spans="11:27">
      <c r="L77">
        <v>500</v>
      </c>
      <c r="Q77">
        <v>320</v>
      </c>
      <c r="V77">
        <v>0</v>
      </c>
      <c r="X77" s="12">
        <f t="shared" si="5"/>
        <v>0</v>
      </c>
      <c r="Y77" s="12">
        <f t="shared" si="6"/>
        <v>0</v>
      </c>
      <c r="Z77" s="12">
        <f t="shared" si="7"/>
        <v>0</v>
      </c>
      <c r="AA77" s="12">
        <f t="shared" si="8"/>
        <v>820</v>
      </c>
    </row>
    <row r="78" spans="11:27">
      <c r="L78">
        <v>420</v>
      </c>
      <c r="Q78">
        <v>260</v>
      </c>
      <c r="V78">
        <v>4</v>
      </c>
      <c r="X78" s="12">
        <f t="shared" si="5"/>
        <v>0</v>
      </c>
      <c r="Y78" s="12">
        <f t="shared" si="6"/>
        <v>0</v>
      </c>
      <c r="Z78" s="12">
        <f t="shared" si="7"/>
        <v>0</v>
      </c>
      <c r="AA78" s="12">
        <f t="shared" si="8"/>
        <v>680</v>
      </c>
    </row>
    <row r="79" spans="11:27">
      <c r="L79">
        <v>0</v>
      </c>
      <c r="Q79">
        <v>0</v>
      </c>
      <c r="V79">
        <v>0</v>
      </c>
      <c r="X79" s="12">
        <f t="shared" si="5"/>
        <v>0</v>
      </c>
      <c r="Y79" s="12">
        <f t="shared" si="6"/>
        <v>0</v>
      </c>
      <c r="Z79" s="12">
        <f t="shared" si="7"/>
        <v>0</v>
      </c>
      <c r="AA79" s="12">
        <f t="shared" si="8"/>
        <v>0</v>
      </c>
    </row>
    <row r="80" spans="11:27">
      <c r="L80">
        <v>2300</v>
      </c>
      <c r="Q80">
        <v>2707</v>
      </c>
      <c r="V80">
        <v>23</v>
      </c>
      <c r="X80" s="12">
        <f t="shared" si="5"/>
        <v>0</v>
      </c>
      <c r="Y80" s="12">
        <f t="shared" si="6"/>
        <v>0</v>
      </c>
      <c r="Z80" s="12">
        <f t="shared" si="7"/>
        <v>0</v>
      </c>
      <c r="AA80" s="12">
        <f t="shared" si="8"/>
        <v>5007</v>
      </c>
    </row>
    <row r="81" spans="12:27">
      <c r="L81">
        <v>1468</v>
      </c>
      <c r="Q81">
        <v>332</v>
      </c>
      <c r="V81">
        <v>12</v>
      </c>
      <c r="X81" s="12">
        <f t="shared" si="5"/>
        <v>0</v>
      </c>
      <c r="Y81" s="12">
        <f t="shared" si="6"/>
        <v>0</v>
      </c>
      <c r="Z81" s="12">
        <f t="shared" si="7"/>
        <v>0</v>
      </c>
      <c r="AA81" s="12">
        <f t="shared" si="8"/>
        <v>1800</v>
      </c>
    </row>
    <row r="82" spans="12:27">
      <c r="L82">
        <v>0</v>
      </c>
      <c r="Q82">
        <v>0</v>
      </c>
      <c r="V82">
        <v>0</v>
      </c>
      <c r="X82" s="12">
        <f t="shared" si="5"/>
        <v>0</v>
      </c>
      <c r="Y82" s="12">
        <f t="shared" si="6"/>
        <v>0</v>
      </c>
      <c r="Z82" s="12">
        <f t="shared" si="7"/>
        <v>0</v>
      </c>
      <c r="AA82" s="12">
        <f t="shared" si="8"/>
        <v>0</v>
      </c>
    </row>
    <row r="83" spans="12:27">
      <c r="L83">
        <v>3480</v>
      </c>
      <c r="Q83">
        <v>460</v>
      </c>
      <c r="V83">
        <v>32</v>
      </c>
      <c r="X83" s="12">
        <f t="shared" si="5"/>
        <v>0</v>
      </c>
      <c r="Y83" s="12">
        <f t="shared" si="6"/>
        <v>0</v>
      </c>
      <c r="Z83" s="12">
        <f t="shared" si="7"/>
        <v>0</v>
      </c>
      <c r="AA83" s="12">
        <f t="shared" si="8"/>
        <v>3940</v>
      </c>
    </row>
    <row r="84" spans="12:27">
      <c r="L84">
        <v>320</v>
      </c>
      <c r="Q84">
        <v>180</v>
      </c>
      <c r="V84">
        <v>3</v>
      </c>
      <c r="X84" s="12">
        <f t="shared" si="5"/>
        <v>0</v>
      </c>
      <c r="Y84" s="12">
        <f t="shared" si="6"/>
        <v>0</v>
      </c>
      <c r="Z84" s="12">
        <f t="shared" si="7"/>
        <v>0</v>
      </c>
      <c r="AA84" s="12">
        <f t="shared" si="8"/>
        <v>500</v>
      </c>
    </row>
    <row r="85" spans="12:27">
      <c r="L85">
        <v>220</v>
      </c>
      <c r="Q85">
        <v>180</v>
      </c>
      <c r="V85">
        <v>2</v>
      </c>
      <c r="X85" s="12">
        <f t="shared" si="5"/>
        <v>0</v>
      </c>
      <c r="Y85" s="12">
        <f t="shared" si="6"/>
        <v>0</v>
      </c>
      <c r="Z85" s="12">
        <f t="shared" si="7"/>
        <v>0</v>
      </c>
      <c r="AA85" s="12">
        <f t="shared" si="8"/>
        <v>400</v>
      </c>
    </row>
    <row r="86" spans="12:27">
      <c r="L86">
        <v>520</v>
      </c>
      <c r="Q86">
        <v>120</v>
      </c>
      <c r="V86">
        <v>5</v>
      </c>
      <c r="X86" s="12">
        <f t="shared" si="5"/>
        <v>0</v>
      </c>
      <c r="Y86" s="12">
        <f t="shared" si="6"/>
        <v>0</v>
      </c>
      <c r="Z86" s="12">
        <f t="shared" si="7"/>
        <v>0</v>
      </c>
      <c r="AA86" s="12">
        <f t="shared" si="8"/>
        <v>640</v>
      </c>
    </row>
    <row r="87" spans="12:27">
      <c r="L87">
        <v>850</v>
      </c>
      <c r="Q87">
        <v>230</v>
      </c>
      <c r="V87">
        <v>4</v>
      </c>
      <c r="X87" s="12">
        <f t="shared" si="5"/>
        <v>0</v>
      </c>
      <c r="Y87" s="12">
        <f t="shared" si="6"/>
        <v>0</v>
      </c>
      <c r="Z87" s="12">
        <f t="shared" si="7"/>
        <v>0</v>
      </c>
      <c r="AA87" s="12">
        <f t="shared" si="8"/>
        <v>1080</v>
      </c>
    </row>
    <row r="88" spans="12:27">
      <c r="L88">
        <v>510</v>
      </c>
      <c r="Q88">
        <v>90</v>
      </c>
      <c r="V88">
        <v>5</v>
      </c>
      <c r="X88" s="12">
        <f t="shared" si="5"/>
        <v>0</v>
      </c>
      <c r="Y88" s="12">
        <f t="shared" si="6"/>
        <v>0</v>
      </c>
      <c r="Z88" s="12">
        <f t="shared" si="7"/>
        <v>0</v>
      </c>
      <c r="AA88" s="12">
        <f t="shared" si="8"/>
        <v>600</v>
      </c>
    </row>
    <row r="89" spans="12:27">
      <c r="L89">
        <v>2440</v>
      </c>
      <c r="Q89">
        <v>340</v>
      </c>
      <c r="V89">
        <v>16</v>
      </c>
      <c r="X89" s="12">
        <f t="shared" si="5"/>
        <v>0</v>
      </c>
      <c r="Y89" s="12">
        <f t="shared" si="6"/>
        <v>0</v>
      </c>
      <c r="Z89" s="12">
        <f t="shared" si="7"/>
        <v>0</v>
      </c>
      <c r="AA89" s="12">
        <f t="shared" si="8"/>
        <v>2780</v>
      </c>
    </row>
    <row r="90" spans="12:27">
      <c r="L90">
        <v>550</v>
      </c>
      <c r="Q90">
        <v>230</v>
      </c>
      <c r="V90">
        <v>5</v>
      </c>
      <c r="X90" s="12">
        <f t="shared" si="5"/>
        <v>0</v>
      </c>
      <c r="Y90" s="12">
        <f t="shared" si="6"/>
        <v>0</v>
      </c>
      <c r="Z90" s="12">
        <f t="shared" si="7"/>
        <v>0</v>
      </c>
      <c r="AA90" s="12">
        <f t="shared" si="8"/>
        <v>780</v>
      </c>
    </row>
    <row r="91" spans="12:27">
      <c r="L91">
        <v>0</v>
      </c>
      <c r="Q91">
        <v>0</v>
      </c>
      <c r="V91">
        <v>0</v>
      </c>
      <c r="X91" s="12">
        <f t="shared" si="5"/>
        <v>0</v>
      </c>
      <c r="Y91" s="12">
        <f t="shared" si="6"/>
        <v>0</v>
      </c>
      <c r="Z91" s="12">
        <f t="shared" si="7"/>
        <v>0</v>
      </c>
      <c r="AA91" s="12">
        <f t="shared" si="8"/>
        <v>0</v>
      </c>
    </row>
    <row r="92" spans="12:27">
      <c r="L92">
        <v>495</v>
      </c>
      <c r="Q92">
        <v>125</v>
      </c>
      <c r="V92">
        <v>3</v>
      </c>
      <c r="X92" s="12">
        <f t="shared" si="5"/>
        <v>0</v>
      </c>
      <c r="Y92" s="12">
        <f t="shared" si="6"/>
        <v>0</v>
      </c>
      <c r="Z92" s="12">
        <f t="shared" si="7"/>
        <v>0</v>
      </c>
      <c r="AA92" s="12">
        <f t="shared" si="8"/>
        <v>620</v>
      </c>
    </row>
    <row r="93" spans="12:27">
      <c r="L93">
        <v>240</v>
      </c>
      <c r="Q93">
        <v>720</v>
      </c>
      <c r="V93">
        <v>2</v>
      </c>
      <c r="X93" s="12">
        <f t="shared" si="5"/>
        <v>0</v>
      </c>
      <c r="Y93" s="12">
        <f t="shared" si="6"/>
        <v>0</v>
      </c>
      <c r="Z93" s="12">
        <f t="shared" si="7"/>
        <v>0</v>
      </c>
      <c r="AA93" s="12">
        <f t="shared" si="8"/>
        <v>960</v>
      </c>
    </row>
    <row r="94" spans="12:27">
      <c r="L94">
        <v>1240</v>
      </c>
      <c r="Q94">
        <v>1532</v>
      </c>
      <c r="V94">
        <v>9</v>
      </c>
      <c r="X94" s="12">
        <f t="shared" si="5"/>
        <v>0</v>
      </c>
      <c r="Y94" s="12">
        <f t="shared" si="6"/>
        <v>0</v>
      </c>
      <c r="Z94" s="12">
        <f t="shared" si="7"/>
        <v>0</v>
      </c>
      <c r="AA94" s="12">
        <f t="shared" si="8"/>
        <v>2772</v>
      </c>
    </row>
    <row r="95" spans="12:27">
      <c r="L95">
        <v>1835</v>
      </c>
      <c r="Q95">
        <v>745</v>
      </c>
      <c r="V95">
        <v>18</v>
      </c>
      <c r="X95" s="12">
        <f t="shared" si="5"/>
        <v>0</v>
      </c>
      <c r="Y95" s="12">
        <f t="shared" si="6"/>
        <v>0</v>
      </c>
      <c r="Z95" s="12">
        <f t="shared" si="7"/>
        <v>0</v>
      </c>
      <c r="AA95" s="12">
        <f t="shared" si="8"/>
        <v>2580</v>
      </c>
    </row>
    <row r="96" spans="12:27">
      <c r="L96">
        <v>0</v>
      </c>
      <c r="Q96">
        <v>119</v>
      </c>
      <c r="V96">
        <v>22</v>
      </c>
      <c r="X96" s="12">
        <f t="shared" si="5"/>
        <v>0</v>
      </c>
      <c r="Y96" s="12">
        <f t="shared" si="6"/>
        <v>0</v>
      </c>
      <c r="Z96" s="12">
        <f t="shared" si="7"/>
        <v>0</v>
      </c>
      <c r="AA96" s="12">
        <f t="shared" si="8"/>
        <v>119</v>
      </c>
    </row>
    <row r="97" spans="12:27">
      <c r="L97">
        <v>2321</v>
      </c>
      <c r="Q97">
        <v>121</v>
      </c>
      <c r="V97">
        <v>1</v>
      </c>
      <c r="X97" s="12">
        <f t="shared" si="5"/>
        <v>0</v>
      </c>
      <c r="Y97" s="12">
        <f t="shared" si="6"/>
        <v>0</v>
      </c>
      <c r="Z97" s="12">
        <f t="shared" si="7"/>
        <v>0</v>
      </c>
      <c r="AA97" s="12">
        <f t="shared" si="8"/>
        <v>2442</v>
      </c>
    </row>
    <row r="98" spans="12:27">
      <c r="L98">
        <v>140</v>
      </c>
      <c r="Q98">
        <v>300</v>
      </c>
      <c r="V98">
        <v>1</v>
      </c>
      <c r="X98" s="12">
        <f t="shared" si="5"/>
        <v>0</v>
      </c>
      <c r="Y98" s="12">
        <f t="shared" si="6"/>
        <v>0</v>
      </c>
      <c r="Z98" s="12">
        <f t="shared" si="7"/>
        <v>0</v>
      </c>
      <c r="AA98" s="12">
        <f t="shared" si="8"/>
        <v>440</v>
      </c>
    </row>
    <row r="99" spans="12:27">
      <c r="L99">
        <v>170</v>
      </c>
      <c r="Q99">
        <v>135</v>
      </c>
      <c r="V99">
        <v>1</v>
      </c>
      <c r="X99" s="12">
        <f t="shared" si="5"/>
        <v>0</v>
      </c>
      <c r="Y99" s="12">
        <f t="shared" si="6"/>
        <v>0</v>
      </c>
      <c r="Z99" s="12">
        <f t="shared" si="7"/>
        <v>0</v>
      </c>
      <c r="AA99" s="12">
        <f t="shared" si="8"/>
        <v>305</v>
      </c>
    </row>
    <row r="100" spans="12:27">
      <c r="L100">
        <v>600</v>
      </c>
      <c r="Q100">
        <v>439</v>
      </c>
      <c r="V100">
        <v>4</v>
      </c>
      <c r="X100" s="12">
        <f t="shared" si="5"/>
        <v>0</v>
      </c>
      <c r="Y100" s="12">
        <f t="shared" si="6"/>
        <v>0</v>
      </c>
      <c r="Z100" s="12">
        <f t="shared" si="7"/>
        <v>0</v>
      </c>
      <c r="AA100" s="12">
        <f t="shared" si="8"/>
        <v>1039</v>
      </c>
    </row>
    <row r="101" spans="12:27">
      <c r="L101">
        <v>210</v>
      </c>
      <c r="Q101">
        <v>390</v>
      </c>
      <c r="V101">
        <v>1</v>
      </c>
      <c r="X101" s="12">
        <f t="shared" si="5"/>
        <v>0</v>
      </c>
      <c r="Y101" s="12">
        <f t="shared" si="6"/>
        <v>0</v>
      </c>
      <c r="Z101" s="12">
        <f t="shared" si="7"/>
        <v>0</v>
      </c>
      <c r="AA101" s="12">
        <f t="shared" si="8"/>
        <v>600</v>
      </c>
    </row>
    <row r="102" spans="12:27">
      <c r="L102">
        <v>110</v>
      </c>
      <c r="Q102">
        <v>250</v>
      </c>
      <c r="V102">
        <v>1</v>
      </c>
      <c r="X102" s="12">
        <f t="shared" si="5"/>
        <v>0</v>
      </c>
      <c r="Y102" s="12">
        <f t="shared" si="6"/>
        <v>0</v>
      </c>
      <c r="Z102" s="12">
        <f t="shared" si="7"/>
        <v>0</v>
      </c>
      <c r="AA102" s="12">
        <f t="shared" si="8"/>
        <v>360</v>
      </c>
    </row>
    <row r="103" spans="12:27">
      <c r="L103">
        <v>1340</v>
      </c>
      <c r="Q103">
        <v>740</v>
      </c>
      <c r="V103">
        <v>10</v>
      </c>
      <c r="X103" s="12">
        <f t="shared" si="5"/>
        <v>0</v>
      </c>
      <c r="Y103" s="12">
        <f t="shared" si="6"/>
        <v>0</v>
      </c>
      <c r="Z103" s="12">
        <f t="shared" si="7"/>
        <v>0</v>
      </c>
      <c r="AA103" s="12">
        <f t="shared" si="8"/>
        <v>2080</v>
      </c>
    </row>
    <row r="104" spans="12:27">
      <c r="L104">
        <v>340</v>
      </c>
      <c r="Q104">
        <v>320</v>
      </c>
      <c r="V104">
        <v>3</v>
      </c>
      <c r="X104" s="12">
        <f t="shared" si="5"/>
        <v>0</v>
      </c>
      <c r="Y104" s="12">
        <f t="shared" si="6"/>
        <v>0</v>
      </c>
      <c r="Z104" s="12">
        <f t="shared" si="7"/>
        <v>0</v>
      </c>
      <c r="AA104" s="12">
        <f t="shared" si="8"/>
        <v>660</v>
      </c>
    </row>
    <row r="105" spans="12:27">
      <c r="L105">
        <v>260</v>
      </c>
      <c r="Q105">
        <v>530</v>
      </c>
      <c r="V105">
        <v>1</v>
      </c>
      <c r="X105" s="12">
        <f t="shared" si="5"/>
        <v>0</v>
      </c>
      <c r="Y105" s="12">
        <f t="shared" si="6"/>
        <v>0</v>
      </c>
      <c r="Z105" s="12">
        <f t="shared" si="7"/>
        <v>0</v>
      </c>
      <c r="AA105" s="12">
        <f t="shared" si="8"/>
        <v>790</v>
      </c>
    </row>
    <row r="106" spans="12:27">
      <c r="L106">
        <v>140</v>
      </c>
      <c r="Q106">
        <v>200</v>
      </c>
      <c r="V106">
        <v>1</v>
      </c>
      <c r="X106" s="12">
        <f t="shared" si="5"/>
        <v>0</v>
      </c>
      <c r="Y106" s="12">
        <f t="shared" si="6"/>
        <v>0</v>
      </c>
      <c r="Z106" s="12">
        <f t="shared" si="7"/>
        <v>0</v>
      </c>
      <c r="AA106" s="12">
        <f t="shared" si="8"/>
        <v>340</v>
      </c>
    </row>
    <row r="107" spans="12:27">
      <c r="L107">
        <v>280</v>
      </c>
      <c r="Q107">
        <v>160</v>
      </c>
      <c r="V107">
        <v>1</v>
      </c>
      <c r="X107" s="12">
        <f t="shared" si="5"/>
        <v>0</v>
      </c>
      <c r="Y107" s="12">
        <f t="shared" si="6"/>
        <v>0</v>
      </c>
      <c r="Z107" s="12">
        <f t="shared" si="7"/>
        <v>0</v>
      </c>
      <c r="AA107" s="12">
        <f t="shared" si="8"/>
        <v>440</v>
      </c>
    </row>
    <row r="108" spans="12:27">
      <c r="L108">
        <v>1020</v>
      </c>
      <c r="Q108">
        <v>1280</v>
      </c>
      <c r="V108">
        <v>7</v>
      </c>
      <c r="X108" s="12">
        <f t="shared" si="5"/>
        <v>0</v>
      </c>
      <c r="Y108" s="12">
        <f t="shared" si="6"/>
        <v>0</v>
      </c>
      <c r="Z108" s="12">
        <f t="shared" si="7"/>
        <v>0</v>
      </c>
      <c r="AA108" s="12">
        <f t="shared" si="8"/>
        <v>2300</v>
      </c>
    </row>
    <row r="109" spans="12:27">
      <c r="L109">
        <v>2280</v>
      </c>
      <c r="Q109">
        <v>1135</v>
      </c>
      <c r="V109">
        <v>17</v>
      </c>
      <c r="X109" s="12">
        <f t="shared" si="5"/>
        <v>0</v>
      </c>
      <c r="Y109" s="12">
        <f t="shared" si="6"/>
        <v>0</v>
      </c>
      <c r="Z109" s="12">
        <f t="shared" si="7"/>
        <v>0</v>
      </c>
      <c r="AA109" s="12">
        <f t="shared" si="8"/>
        <v>3415</v>
      </c>
    </row>
    <row r="110" spans="12:27">
      <c r="L110">
        <v>0</v>
      </c>
      <c r="Q110">
        <v>0</v>
      </c>
      <c r="V110">
        <v>0</v>
      </c>
      <c r="X110" s="12">
        <f t="shared" si="5"/>
        <v>0</v>
      </c>
      <c r="Y110" s="12">
        <f t="shared" si="6"/>
        <v>0</v>
      </c>
      <c r="Z110" s="12">
        <f t="shared" si="7"/>
        <v>0</v>
      </c>
      <c r="AA110" s="12">
        <f t="shared" si="8"/>
        <v>0</v>
      </c>
    </row>
    <row r="111" spans="12:27">
      <c r="L111">
        <v>1920</v>
      </c>
      <c r="Q111">
        <v>1230</v>
      </c>
      <c r="V111">
        <v>13</v>
      </c>
      <c r="X111" s="12">
        <f t="shared" si="5"/>
        <v>0</v>
      </c>
      <c r="Y111" s="12">
        <f t="shared" si="6"/>
        <v>0</v>
      </c>
      <c r="Z111" s="12">
        <f t="shared" si="7"/>
        <v>0</v>
      </c>
      <c r="AA111" s="12">
        <f t="shared" si="8"/>
        <v>3150</v>
      </c>
    </row>
    <row r="112" spans="12:27">
      <c r="L112">
        <v>240</v>
      </c>
      <c r="Q112">
        <v>0</v>
      </c>
      <c r="V112">
        <v>0</v>
      </c>
      <c r="X112" s="12">
        <f t="shared" si="5"/>
        <v>0</v>
      </c>
      <c r="Y112" s="12">
        <f t="shared" si="6"/>
        <v>0</v>
      </c>
      <c r="Z112" s="12">
        <f t="shared" si="7"/>
        <v>0</v>
      </c>
      <c r="AA112" s="12">
        <f t="shared" si="8"/>
        <v>240</v>
      </c>
    </row>
    <row r="113" spans="12:27">
      <c r="L113">
        <v>0</v>
      </c>
      <c r="Q113">
        <v>0</v>
      </c>
      <c r="V113">
        <v>0</v>
      </c>
      <c r="X113" s="12">
        <f t="shared" si="5"/>
        <v>0</v>
      </c>
      <c r="Y113" s="12">
        <f t="shared" si="6"/>
        <v>0</v>
      </c>
      <c r="Z113" s="12">
        <f t="shared" si="7"/>
        <v>0</v>
      </c>
      <c r="AA113" s="12">
        <f t="shared" si="8"/>
        <v>0</v>
      </c>
    </row>
    <row r="114" spans="12:27">
      <c r="L114">
        <v>740</v>
      </c>
      <c r="Q114">
        <v>500</v>
      </c>
      <c r="V114">
        <v>7</v>
      </c>
      <c r="X114" s="12">
        <f t="shared" si="5"/>
        <v>0</v>
      </c>
      <c r="Y114" s="12">
        <f t="shared" si="6"/>
        <v>0</v>
      </c>
      <c r="Z114" s="12">
        <f t="shared" si="7"/>
        <v>0</v>
      </c>
      <c r="AA114" s="12">
        <f t="shared" si="8"/>
        <v>1240</v>
      </c>
    </row>
    <row r="115" spans="12:27">
      <c r="L115">
        <v>45</v>
      </c>
      <c r="Q115">
        <v>426</v>
      </c>
      <c r="V115">
        <v>1</v>
      </c>
      <c r="X115" s="12">
        <f t="shared" si="5"/>
        <v>0</v>
      </c>
      <c r="Y115" s="12">
        <f t="shared" si="6"/>
        <v>0</v>
      </c>
      <c r="Z115" s="12">
        <f t="shared" si="7"/>
        <v>0</v>
      </c>
      <c r="AA115" s="12">
        <f t="shared" si="8"/>
        <v>471</v>
      </c>
    </row>
    <row r="116" spans="12:27">
      <c r="L116">
        <v>100</v>
      </c>
      <c r="Q116">
        <v>320</v>
      </c>
      <c r="V116">
        <v>1</v>
      </c>
      <c r="X116" s="12">
        <f t="shared" si="5"/>
        <v>0</v>
      </c>
      <c r="Y116" s="12">
        <f t="shared" si="6"/>
        <v>0</v>
      </c>
      <c r="Z116" s="12">
        <f t="shared" si="7"/>
        <v>0</v>
      </c>
      <c r="AA116" s="12">
        <f t="shared" si="8"/>
        <v>420</v>
      </c>
    </row>
    <row r="117" spans="12:27">
      <c r="L117">
        <v>430</v>
      </c>
      <c r="Q117">
        <v>830</v>
      </c>
      <c r="V117">
        <v>0</v>
      </c>
      <c r="X117" s="12">
        <f t="shared" si="5"/>
        <v>0</v>
      </c>
      <c r="Y117" s="12">
        <f t="shared" si="6"/>
        <v>0</v>
      </c>
      <c r="Z117" s="12">
        <f t="shared" si="7"/>
        <v>0</v>
      </c>
      <c r="AA117" s="12">
        <f t="shared" si="8"/>
        <v>1260</v>
      </c>
    </row>
    <row r="118" spans="12:27">
      <c r="L118">
        <v>300</v>
      </c>
      <c r="Q118">
        <v>180</v>
      </c>
      <c r="V118">
        <v>2</v>
      </c>
      <c r="X118" s="12">
        <f t="shared" si="5"/>
        <v>0</v>
      </c>
      <c r="Y118" s="12">
        <f t="shared" si="6"/>
        <v>0</v>
      </c>
      <c r="Z118" s="12">
        <f t="shared" si="7"/>
        <v>0</v>
      </c>
      <c r="AA118" s="12">
        <f t="shared" si="8"/>
        <v>480</v>
      </c>
    </row>
    <row r="119" spans="12:27">
      <c r="L119">
        <v>0</v>
      </c>
      <c r="Q119">
        <v>0</v>
      </c>
      <c r="V119">
        <v>0</v>
      </c>
      <c r="X119" s="12">
        <f t="shared" si="5"/>
        <v>0</v>
      </c>
      <c r="Y119" s="12">
        <f t="shared" si="6"/>
        <v>0</v>
      </c>
      <c r="Z119" s="12">
        <f t="shared" si="7"/>
        <v>0</v>
      </c>
      <c r="AA119" s="12">
        <f t="shared" si="8"/>
        <v>0</v>
      </c>
    </row>
    <row r="120" spans="12:27">
      <c r="L120">
        <v>167</v>
      </c>
      <c r="Q120">
        <v>366</v>
      </c>
      <c r="V120">
        <v>1</v>
      </c>
      <c r="X120" s="12">
        <f t="shared" si="5"/>
        <v>0</v>
      </c>
      <c r="Y120" s="12">
        <f t="shared" si="6"/>
        <v>0</v>
      </c>
      <c r="Z120" s="12">
        <f t="shared" si="7"/>
        <v>0</v>
      </c>
      <c r="AA120" s="12">
        <f t="shared" si="8"/>
        <v>533</v>
      </c>
    </row>
    <row r="121" spans="12:27">
      <c r="L121">
        <v>0</v>
      </c>
      <c r="Q121">
        <v>0</v>
      </c>
      <c r="V121">
        <v>0</v>
      </c>
      <c r="X121" s="12">
        <f t="shared" si="5"/>
        <v>0</v>
      </c>
      <c r="Y121" s="12">
        <f t="shared" si="6"/>
        <v>0</v>
      </c>
      <c r="Z121" s="12">
        <f t="shared" si="7"/>
        <v>0</v>
      </c>
      <c r="AA121" s="12">
        <f t="shared" si="8"/>
        <v>0</v>
      </c>
    </row>
    <row r="122" spans="12:27">
      <c r="L122">
        <v>280</v>
      </c>
      <c r="Q122">
        <v>1610</v>
      </c>
      <c r="V122">
        <v>0</v>
      </c>
      <c r="X122" s="12">
        <f t="shared" si="5"/>
        <v>0</v>
      </c>
      <c r="Y122" s="12">
        <f t="shared" si="6"/>
        <v>0</v>
      </c>
      <c r="Z122" s="12">
        <f t="shared" si="7"/>
        <v>0</v>
      </c>
      <c r="AA122" s="12">
        <f t="shared" si="8"/>
        <v>1890</v>
      </c>
    </row>
    <row r="123" spans="12:27">
      <c r="L123">
        <v>5460</v>
      </c>
      <c r="Q123">
        <v>500</v>
      </c>
      <c r="V123">
        <v>20</v>
      </c>
      <c r="X123" s="12">
        <f t="shared" si="5"/>
        <v>0</v>
      </c>
      <c r="Y123" s="12">
        <f t="shared" si="6"/>
        <v>0</v>
      </c>
      <c r="Z123" s="12">
        <f t="shared" si="7"/>
        <v>0</v>
      </c>
      <c r="AA123" s="12">
        <f t="shared" si="8"/>
        <v>5960</v>
      </c>
    </row>
    <row r="124" spans="12:27">
      <c r="L124">
        <v>0</v>
      </c>
      <c r="Q124">
        <v>0</v>
      </c>
      <c r="V124">
        <v>0</v>
      </c>
      <c r="X124" s="12">
        <f t="shared" si="5"/>
        <v>0</v>
      </c>
      <c r="Y124" s="12">
        <f t="shared" si="6"/>
        <v>0</v>
      </c>
      <c r="Z124" s="12">
        <f t="shared" si="7"/>
        <v>0</v>
      </c>
      <c r="AA124" s="12">
        <f t="shared" si="8"/>
        <v>0</v>
      </c>
    </row>
    <row r="125" spans="12:27">
      <c r="L125">
        <v>0</v>
      </c>
      <c r="Q125">
        <v>0</v>
      </c>
      <c r="V125">
        <v>0</v>
      </c>
      <c r="X125" s="12">
        <f t="shared" si="5"/>
        <v>0</v>
      </c>
      <c r="Y125" s="12">
        <f t="shared" si="6"/>
        <v>0</v>
      </c>
      <c r="Z125" s="12">
        <f t="shared" si="7"/>
        <v>0</v>
      </c>
      <c r="AA125" s="12">
        <f t="shared" si="8"/>
        <v>0</v>
      </c>
    </row>
    <row r="126" spans="12:27">
      <c r="L126">
        <v>0</v>
      </c>
      <c r="Q126">
        <v>360</v>
      </c>
      <c r="V126">
        <v>0</v>
      </c>
      <c r="X126" s="12">
        <f t="shared" si="5"/>
        <v>0</v>
      </c>
      <c r="Y126" s="12">
        <f t="shared" si="6"/>
        <v>0</v>
      </c>
      <c r="Z126" s="12">
        <f t="shared" si="7"/>
        <v>0</v>
      </c>
      <c r="AA126" s="12">
        <f t="shared" si="8"/>
        <v>360</v>
      </c>
    </row>
    <row r="127" spans="12:27">
      <c r="L127">
        <v>0</v>
      </c>
      <c r="Q127">
        <v>0</v>
      </c>
      <c r="V127">
        <v>0</v>
      </c>
      <c r="X127" s="12">
        <f t="shared" si="5"/>
        <v>0</v>
      </c>
      <c r="Y127" s="12">
        <f t="shared" si="6"/>
        <v>0</v>
      </c>
      <c r="Z127" s="12">
        <f t="shared" si="7"/>
        <v>0</v>
      </c>
      <c r="AA127" s="12">
        <f t="shared" si="8"/>
        <v>0</v>
      </c>
    </row>
    <row r="128" spans="12:27">
      <c r="L128">
        <v>480</v>
      </c>
      <c r="Q128">
        <v>620</v>
      </c>
      <c r="V128">
        <v>4</v>
      </c>
      <c r="X128" s="12">
        <f t="shared" si="5"/>
        <v>0</v>
      </c>
      <c r="Y128" s="12">
        <f t="shared" si="6"/>
        <v>0</v>
      </c>
      <c r="Z128" s="12">
        <f t="shared" si="7"/>
        <v>0</v>
      </c>
      <c r="AA128" s="12">
        <f t="shared" si="8"/>
        <v>1100</v>
      </c>
    </row>
    <row r="129" spans="12:27">
      <c r="L129">
        <v>0</v>
      </c>
      <c r="Q129">
        <v>843</v>
      </c>
      <c r="V129">
        <v>0</v>
      </c>
      <c r="X129" s="12">
        <f t="shared" si="5"/>
        <v>0</v>
      </c>
      <c r="Y129" s="12">
        <f t="shared" si="6"/>
        <v>0</v>
      </c>
      <c r="Z129" s="12">
        <f t="shared" si="7"/>
        <v>0</v>
      </c>
      <c r="AA129" s="12">
        <f t="shared" si="8"/>
        <v>843</v>
      </c>
    </row>
    <row r="130" spans="12:27">
      <c r="L130">
        <v>30</v>
      </c>
      <c r="Q130">
        <v>260</v>
      </c>
      <c r="V130">
        <v>0</v>
      </c>
      <c r="X130" s="12">
        <f t="shared" si="5"/>
        <v>0</v>
      </c>
      <c r="Y130" s="12">
        <f t="shared" si="6"/>
        <v>0</v>
      </c>
      <c r="Z130" s="12">
        <f t="shared" si="7"/>
        <v>0</v>
      </c>
      <c r="AA130" s="12">
        <f t="shared" si="8"/>
        <v>290</v>
      </c>
    </row>
    <row r="131" spans="12:27">
      <c r="L131">
        <v>0</v>
      </c>
      <c r="Q131">
        <v>0</v>
      </c>
      <c r="V131">
        <v>0</v>
      </c>
      <c r="X131" s="12">
        <f t="shared" si="5"/>
        <v>0</v>
      </c>
      <c r="Y131" s="12">
        <f t="shared" si="6"/>
        <v>0</v>
      </c>
      <c r="Z131" s="12">
        <f t="shared" si="7"/>
        <v>0</v>
      </c>
      <c r="AA131" s="12">
        <f t="shared" si="8"/>
        <v>0</v>
      </c>
    </row>
    <row r="132" spans="12:27">
      <c r="L132">
        <v>540</v>
      </c>
      <c r="Q132">
        <v>480</v>
      </c>
      <c r="V132">
        <v>3</v>
      </c>
      <c r="X132" s="12">
        <f t="shared" ref="X132:X195" si="9">(I132+N132)</f>
        <v>0</v>
      </c>
      <c r="Y132" s="12">
        <f t="shared" ref="Y132:Y195" si="10">(J132+O132)</f>
        <v>0</v>
      </c>
      <c r="Z132" s="12">
        <f t="shared" ref="Z132:Z195" si="11">(K132+P132)</f>
        <v>0</v>
      </c>
      <c r="AA132" s="12">
        <f t="shared" ref="AA132:AA195" si="12">(L132+Q132)</f>
        <v>1020</v>
      </c>
    </row>
    <row r="133" spans="12:27">
      <c r="L133">
        <v>0</v>
      </c>
      <c r="Q133">
        <v>660</v>
      </c>
      <c r="V133">
        <v>0</v>
      </c>
      <c r="X133" s="12">
        <f t="shared" si="9"/>
        <v>0</v>
      </c>
      <c r="Y133" s="12">
        <f t="shared" si="10"/>
        <v>0</v>
      </c>
      <c r="Z133" s="12">
        <f t="shared" si="11"/>
        <v>0</v>
      </c>
      <c r="AA133" s="12">
        <f t="shared" si="12"/>
        <v>660</v>
      </c>
    </row>
    <row r="134" spans="12:27">
      <c r="L134">
        <v>0</v>
      </c>
      <c r="Q134">
        <v>550</v>
      </c>
      <c r="V134">
        <v>0</v>
      </c>
      <c r="X134" s="12">
        <f t="shared" si="9"/>
        <v>0</v>
      </c>
      <c r="Y134" s="12">
        <f t="shared" si="10"/>
        <v>0</v>
      </c>
      <c r="Z134" s="12">
        <f t="shared" si="11"/>
        <v>0</v>
      </c>
      <c r="AA134" s="12">
        <f t="shared" si="12"/>
        <v>550</v>
      </c>
    </row>
    <row r="135" spans="12:27">
      <c r="L135">
        <v>0</v>
      </c>
      <c r="Q135">
        <v>0</v>
      </c>
      <c r="V135">
        <v>0</v>
      </c>
      <c r="X135" s="12">
        <f t="shared" si="9"/>
        <v>0</v>
      </c>
      <c r="Y135" s="12">
        <f t="shared" si="10"/>
        <v>0</v>
      </c>
      <c r="Z135" s="12">
        <f t="shared" si="11"/>
        <v>0</v>
      </c>
      <c r="AA135" s="12">
        <f t="shared" si="12"/>
        <v>0</v>
      </c>
    </row>
    <row r="136" spans="12:27">
      <c r="L136">
        <v>1600</v>
      </c>
      <c r="Q136">
        <v>1100</v>
      </c>
      <c r="V136">
        <v>5</v>
      </c>
      <c r="X136" s="12">
        <f t="shared" si="9"/>
        <v>0</v>
      </c>
      <c r="Y136" s="12">
        <f t="shared" si="10"/>
        <v>0</v>
      </c>
      <c r="Z136" s="12">
        <f t="shared" si="11"/>
        <v>0</v>
      </c>
      <c r="AA136" s="12">
        <f t="shared" si="12"/>
        <v>2700</v>
      </c>
    </row>
    <row r="137" spans="12:27">
      <c r="L137">
        <v>580</v>
      </c>
      <c r="Q137">
        <v>1480</v>
      </c>
      <c r="V137">
        <v>10</v>
      </c>
      <c r="X137" s="12">
        <f t="shared" si="9"/>
        <v>0</v>
      </c>
      <c r="Y137" s="12">
        <f t="shared" si="10"/>
        <v>0</v>
      </c>
      <c r="Z137" s="12">
        <f t="shared" si="11"/>
        <v>0</v>
      </c>
      <c r="AA137" s="12">
        <f t="shared" si="12"/>
        <v>2060</v>
      </c>
    </row>
    <row r="138" spans="12:27">
      <c r="L138">
        <v>0</v>
      </c>
      <c r="Q138">
        <v>0</v>
      </c>
      <c r="V138">
        <v>0</v>
      </c>
      <c r="X138" s="12">
        <f t="shared" si="9"/>
        <v>0</v>
      </c>
      <c r="Y138" s="12">
        <f t="shared" si="10"/>
        <v>0</v>
      </c>
      <c r="Z138" s="12">
        <f t="shared" si="11"/>
        <v>0</v>
      </c>
      <c r="AA138" s="12">
        <f t="shared" si="12"/>
        <v>0</v>
      </c>
    </row>
    <row r="139" spans="12:27">
      <c r="L139">
        <v>4620</v>
      </c>
      <c r="Q139">
        <v>0</v>
      </c>
      <c r="V139">
        <v>30</v>
      </c>
      <c r="X139" s="12">
        <f t="shared" si="9"/>
        <v>0</v>
      </c>
      <c r="Y139" s="12">
        <f t="shared" si="10"/>
        <v>0</v>
      </c>
      <c r="Z139" s="12">
        <f t="shared" si="11"/>
        <v>0</v>
      </c>
      <c r="AA139" s="12">
        <f t="shared" si="12"/>
        <v>4620</v>
      </c>
    </row>
    <row r="140" spans="12:27">
      <c r="L140">
        <v>466</v>
      </c>
      <c r="Q140">
        <v>1474</v>
      </c>
      <c r="V140">
        <v>3</v>
      </c>
      <c r="X140" s="12">
        <f t="shared" si="9"/>
        <v>0</v>
      </c>
      <c r="Y140" s="12">
        <f t="shared" si="10"/>
        <v>0</v>
      </c>
      <c r="Z140" s="12">
        <f t="shared" si="11"/>
        <v>0</v>
      </c>
      <c r="AA140" s="12">
        <f t="shared" si="12"/>
        <v>1940</v>
      </c>
    </row>
    <row r="141" spans="12:27">
      <c r="L141">
        <v>180</v>
      </c>
      <c r="Q141">
        <v>80</v>
      </c>
      <c r="V141">
        <v>1</v>
      </c>
      <c r="X141" s="12">
        <f t="shared" si="9"/>
        <v>0</v>
      </c>
      <c r="Y141" s="12">
        <f t="shared" si="10"/>
        <v>0</v>
      </c>
      <c r="Z141" s="12">
        <f t="shared" si="11"/>
        <v>0</v>
      </c>
      <c r="AA141" s="12">
        <f t="shared" si="12"/>
        <v>260</v>
      </c>
    </row>
    <row r="142" spans="12:27">
      <c r="L142">
        <v>0</v>
      </c>
      <c r="Q142">
        <v>634</v>
      </c>
      <c r="V142">
        <v>0</v>
      </c>
      <c r="X142" s="12">
        <f t="shared" si="9"/>
        <v>0</v>
      </c>
      <c r="Y142" s="12">
        <f t="shared" si="10"/>
        <v>0</v>
      </c>
      <c r="Z142" s="12">
        <f t="shared" si="11"/>
        <v>0</v>
      </c>
      <c r="AA142" s="12">
        <f t="shared" si="12"/>
        <v>634</v>
      </c>
    </row>
    <row r="143" spans="12:27">
      <c r="L143">
        <v>0</v>
      </c>
      <c r="Q143">
        <v>40</v>
      </c>
      <c r="V143">
        <v>0</v>
      </c>
      <c r="X143" s="12">
        <f t="shared" si="9"/>
        <v>0</v>
      </c>
      <c r="Y143" s="12">
        <f t="shared" si="10"/>
        <v>0</v>
      </c>
      <c r="Z143" s="12">
        <f t="shared" si="11"/>
        <v>0</v>
      </c>
      <c r="AA143" s="12">
        <f t="shared" si="12"/>
        <v>40</v>
      </c>
    </row>
    <row r="144" spans="12:27">
      <c r="L144">
        <v>76</v>
      </c>
      <c r="Q144">
        <v>104</v>
      </c>
      <c r="V144">
        <v>0</v>
      </c>
      <c r="X144" s="12">
        <f t="shared" si="9"/>
        <v>0</v>
      </c>
      <c r="Y144" s="12">
        <f t="shared" si="10"/>
        <v>0</v>
      </c>
      <c r="Z144" s="12">
        <f t="shared" si="11"/>
        <v>0</v>
      </c>
      <c r="AA144" s="12">
        <f t="shared" si="12"/>
        <v>180</v>
      </c>
    </row>
    <row r="145" spans="12:27">
      <c r="L145">
        <v>0</v>
      </c>
      <c r="Q145">
        <v>180</v>
      </c>
      <c r="V145">
        <v>0</v>
      </c>
      <c r="X145" s="12">
        <f t="shared" si="9"/>
        <v>0</v>
      </c>
      <c r="Y145" s="12">
        <f t="shared" si="10"/>
        <v>0</v>
      </c>
      <c r="Z145" s="12">
        <f t="shared" si="11"/>
        <v>0</v>
      </c>
      <c r="AA145" s="12">
        <f t="shared" si="12"/>
        <v>180</v>
      </c>
    </row>
    <row r="146" spans="12:27">
      <c r="L146">
        <v>0</v>
      </c>
      <c r="Q146">
        <v>240</v>
      </c>
      <c r="V146">
        <v>0</v>
      </c>
      <c r="X146" s="12">
        <f t="shared" si="9"/>
        <v>0</v>
      </c>
      <c r="Y146" s="12">
        <f t="shared" si="10"/>
        <v>0</v>
      </c>
      <c r="Z146" s="12">
        <f t="shared" si="11"/>
        <v>0</v>
      </c>
      <c r="AA146" s="12">
        <f t="shared" si="12"/>
        <v>240</v>
      </c>
    </row>
    <row r="147" spans="12:27">
      <c r="L147">
        <v>0</v>
      </c>
      <c r="Q147">
        <v>630</v>
      </c>
      <c r="V147">
        <v>0</v>
      </c>
      <c r="X147" s="12">
        <f t="shared" si="9"/>
        <v>0</v>
      </c>
      <c r="Y147" s="12">
        <f t="shared" si="10"/>
        <v>0</v>
      </c>
      <c r="Z147" s="12">
        <f t="shared" si="11"/>
        <v>0</v>
      </c>
      <c r="AA147" s="12">
        <f t="shared" si="12"/>
        <v>630</v>
      </c>
    </row>
    <row r="148" spans="12:27">
      <c r="L148">
        <v>400</v>
      </c>
      <c r="Q148">
        <v>1240</v>
      </c>
      <c r="V148">
        <v>3</v>
      </c>
      <c r="X148" s="12">
        <f t="shared" si="9"/>
        <v>0</v>
      </c>
      <c r="Y148" s="12">
        <f t="shared" si="10"/>
        <v>0</v>
      </c>
      <c r="Z148" s="12">
        <f t="shared" si="11"/>
        <v>0</v>
      </c>
      <c r="AA148" s="12">
        <f t="shared" si="12"/>
        <v>1640</v>
      </c>
    </row>
    <row r="149" spans="12:27">
      <c r="L149">
        <v>2420</v>
      </c>
      <c r="Q149">
        <v>4140</v>
      </c>
      <c r="V149">
        <v>17</v>
      </c>
      <c r="X149" s="12">
        <f t="shared" si="9"/>
        <v>0</v>
      </c>
      <c r="Y149" s="12">
        <f t="shared" si="10"/>
        <v>0</v>
      </c>
      <c r="Z149" s="12">
        <f t="shared" si="11"/>
        <v>0</v>
      </c>
      <c r="AA149" s="12">
        <f t="shared" si="12"/>
        <v>6560</v>
      </c>
    </row>
    <row r="150" spans="12:27">
      <c r="L150">
        <v>0</v>
      </c>
      <c r="Q150">
        <v>40</v>
      </c>
      <c r="V150">
        <v>0</v>
      </c>
      <c r="X150" s="12">
        <f t="shared" si="9"/>
        <v>0</v>
      </c>
      <c r="Y150" s="12">
        <f t="shared" si="10"/>
        <v>0</v>
      </c>
      <c r="Z150" s="12">
        <f t="shared" si="11"/>
        <v>0</v>
      </c>
      <c r="AA150" s="12">
        <f t="shared" si="12"/>
        <v>40</v>
      </c>
    </row>
    <row r="151" spans="12:27">
      <c r="L151">
        <v>0</v>
      </c>
      <c r="Q151">
        <v>240</v>
      </c>
      <c r="V151">
        <v>0</v>
      </c>
      <c r="X151" s="12">
        <f t="shared" si="9"/>
        <v>0</v>
      </c>
      <c r="Y151" s="12">
        <f t="shared" si="10"/>
        <v>0</v>
      </c>
      <c r="Z151" s="12">
        <f t="shared" si="11"/>
        <v>0</v>
      </c>
      <c r="AA151" s="12">
        <f t="shared" si="12"/>
        <v>240</v>
      </c>
    </row>
    <row r="152" spans="12:27">
      <c r="L152">
        <v>0</v>
      </c>
      <c r="Q152">
        <v>165</v>
      </c>
      <c r="V152">
        <v>0</v>
      </c>
      <c r="X152" s="12">
        <f t="shared" si="9"/>
        <v>0</v>
      </c>
      <c r="Y152" s="12">
        <f t="shared" si="10"/>
        <v>0</v>
      </c>
      <c r="Z152" s="12">
        <f t="shared" si="11"/>
        <v>0</v>
      </c>
      <c r="AA152" s="12">
        <f t="shared" si="12"/>
        <v>165</v>
      </c>
    </row>
    <row r="153" spans="12:27">
      <c r="L153">
        <v>270</v>
      </c>
      <c r="Q153">
        <v>510</v>
      </c>
      <c r="V153">
        <v>2</v>
      </c>
      <c r="X153" s="12">
        <f t="shared" si="9"/>
        <v>0</v>
      </c>
      <c r="Y153" s="12">
        <f t="shared" si="10"/>
        <v>0</v>
      </c>
      <c r="Z153" s="12">
        <f t="shared" si="11"/>
        <v>0</v>
      </c>
      <c r="AA153" s="12">
        <f t="shared" si="12"/>
        <v>780</v>
      </c>
    </row>
    <row r="154" spans="12:27">
      <c r="L154">
        <v>1700</v>
      </c>
      <c r="Q154">
        <v>2540</v>
      </c>
      <c r="V154">
        <v>15</v>
      </c>
      <c r="X154" s="12">
        <f t="shared" si="9"/>
        <v>0</v>
      </c>
      <c r="Y154" s="12">
        <f t="shared" si="10"/>
        <v>0</v>
      </c>
      <c r="Z154" s="12">
        <f t="shared" si="11"/>
        <v>0</v>
      </c>
      <c r="AA154" s="12">
        <f t="shared" si="12"/>
        <v>4240</v>
      </c>
    </row>
    <row r="155" spans="12:27">
      <c r="L155">
        <v>0</v>
      </c>
      <c r="Q155">
        <v>120</v>
      </c>
      <c r="V155">
        <v>0</v>
      </c>
      <c r="X155" s="12">
        <f t="shared" si="9"/>
        <v>0</v>
      </c>
      <c r="Y155" s="12">
        <f t="shared" si="10"/>
        <v>0</v>
      </c>
      <c r="Z155" s="12">
        <f t="shared" si="11"/>
        <v>0</v>
      </c>
      <c r="AA155" s="12">
        <f t="shared" si="12"/>
        <v>120</v>
      </c>
    </row>
    <row r="156" spans="12:27">
      <c r="L156">
        <v>0</v>
      </c>
      <c r="Q156">
        <v>120</v>
      </c>
      <c r="V156">
        <v>0</v>
      </c>
      <c r="X156" s="12">
        <f t="shared" si="9"/>
        <v>0</v>
      </c>
      <c r="Y156" s="12">
        <f t="shared" si="10"/>
        <v>0</v>
      </c>
      <c r="Z156" s="12">
        <f t="shared" si="11"/>
        <v>0</v>
      </c>
      <c r="AA156" s="12">
        <f t="shared" si="12"/>
        <v>120</v>
      </c>
    </row>
    <row r="157" spans="12:27">
      <c r="L157">
        <v>230</v>
      </c>
      <c r="Q157">
        <v>620</v>
      </c>
      <c r="V157">
        <v>2</v>
      </c>
      <c r="X157" s="12">
        <f t="shared" si="9"/>
        <v>0</v>
      </c>
      <c r="Y157" s="12">
        <f t="shared" si="10"/>
        <v>0</v>
      </c>
      <c r="Z157" s="12">
        <f t="shared" si="11"/>
        <v>0</v>
      </c>
      <c r="AA157" s="12">
        <f t="shared" si="12"/>
        <v>850</v>
      </c>
    </row>
    <row r="158" spans="12:27">
      <c r="L158">
        <v>980</v>
      </c>
      <c r="Q158">
        <v>3180</v>
      </c>
      <c r="V158">
        <v>9</v>
      </c>
      <c r="X158" s="12">
        <f t="shared" si="9"/>
        <v>0</v>
      </c>
      <c r="Y158" s="12">
        <f t="shared" si="10"/>
        <v>0</v>
      </c>
      <c r="Z158" s="12">
        <f t="shared" si="11"/>
        <v>0</v>
      </c>
      <c r="AA158" s="12">
        <f t="shared" si="12"/>
        <v>4160</v>
      </c>
    </row>
    <row r="159" spans="12:27">
      <c r="L159">
        <v>0</v>
      </c>
      <c r="Q159">
        <v>260</v>
      </c>
      <c r="V159">
        <v>0</v>
      </c>
      <c r="X159" s="12">
        <f t="shared" si="9"/>
        <v>0</v>
      </c>
      <c r="Y159" s="12">
        <f t="shared" si="10"/>
        <v>0</v>
      </c>
      <c r="Z159" s="12">
        <f t="shared" si="11"/>
        <v>0</v>
      </c>
      <c r="AA159" s="12">
        <f t="shared" si="12"/>
        <v>260</v>
      </c>
    </row>
    <row r="160" spans="12:27">
      <c r="L160">
        <v>20</v>
      </c>
      <c r="Q160">
        <v>170</v>
      </c>
      <c r="V160">
        <v>0</v>
      </c>
      <c r="X160" s="12">
        <f t="shared" si="9"/>
        <v>0</v>
      </c>
      <c r="Y160" s="12">
        <f t="shared" si="10"/>
        <v>0</v>
      </c>
      <c r="Z160" s="12">
        <f t="shared" si="11"/>
        <v>0</v>
      </c>
      <c r="AA160" s="12">
        <f t="shared" si="12"/>
        <v>190</v>
      </c>
    </row>
    <row r="161" spans="12:27">
      <c r="L161">
        <v>0</v>
      </c>
      <c r="Q161">
        <v>80</v>
      </c>
      <c r="V161">
        <v>0</v>
      </c>
      <c r="X161" s="12">
        <f t="shared" si="9"/>
        <v>0</v>
      </c>
      <c r="Y161" s="12">
        <f t="shared" si="10"/>
        <v>0</v>
      </c>
      <c r="Z161" s="12">
        <f t="shared" si="11"/>
        <v>0</v>
      </c>
      <c r="AA161" s="12">
        <f t="shared" si="12"/>
        <v>80</v>
      </c>
    </row>
    <row r="162" spans="12:27">
      <c r="L162">
        <v>460</v>
      </c>
      <c r="Q162">
        <v>240</v>
      </c>
      <c r="V162">
        <v>2</v>
      </c>
      <c r="X162" s="12">
        <f t="shared" si="9"/>
        <v>0</v>
      </c>
      <c r="Y162" s="12">
        <f t="shared" si="10"/>
        <v>0</v>
      </c>
      <c r="Z162" s="12">
        <f t="shared" si="11"/>
        <v>0</v>
      </c>
      <c r="AA162" s="12">
        <f t="shared" si="12"/>
        <v>700</v>
      </c>
    </row>
    <row r="163" spans="12:27">
      <c r="L163">
        <v>530</v>
      </c>
      <c r="Q163">
        <v>1110</v>
      </c>
      <c r="V163">
        <v>5</v>
      </c>
      <c r="X163" s="12">
        <f t="shared" si="9"/>
        <v>0</v>
      </c>
      <c r="Y163" s="12">
        <f t="shared" si="10"/>
        <v>0</v>
      </c>
      <c r="Z163" s="12">
        <f t="shared" si="11"/>
        <v>0</v>
      </c>
      <c r="AA163" s="12">
        <f t="shared" si="12"/>
        <v>1640</v>
      </c>
    </row>
    <row r="164" spans="12:27">
      <c r="L164">
        <v>100</v>
      </c>
      <c r="Q164">
        <v>160</v>
      </c>
      <c r="V164">
        <v>1</v>
      </c>
      <c r="X164" s="12">
        <f t="shared" si="9"/>
        <v>0</v>
      </c>
      <c r="Y164" s="12">
        <f t="shared" si="10"/>
        <v>0</v>
      </c>
      <c r="Z164" s="12">
        <f t="shared" si="11"/>
        <v>0</v>
      </c>
      <c r="AA164" s="12">
        <f t="shared" si="12"/>
        <v>260</v>
      </c>
    </row>
    <row r="165" spans="12:27">
      <c r="L165">
        <v>590</v>
      </c>
      <c r="Q165">
        <v>430</v>
      </c>
      <c r="V165">
        <v>4</v>
      </c>
      <c r="X165" s="12">
        <f t="shared" si="9"/>
        <v>0</v>
      </c>
      <c r="Y165" s="12">
        <f t="shared" si="10"/>
        <v>0</v>
      </c>
      <c r="Z165" s="12">
        <f t="shared" si="11"/>
        <v>0</v>
      </c>
      <c r="AA165" s="12">
        <f t="shared" si="12"/>
        <v>1020</v>
      </c>
    </row>
    <row r="166" spans="12:27">
      <c r="L166">
        <v>110</v>
      </c>
      <c r="Q166">
        <v>170</v>
      </c>
      <c r="V166">
        <v>1</v>
      </c>
      <c r="X166" s="12">
        <f t="shared" si="9"/>
        <v>0</v>
      </c>
      <c r="Y166" s="12">
        <f t="shared" si="10"/>
        <v>0</v>
      </c>
      <c r="Z166" s="12">
        <f t="shared" si="11"/>
        <v>0</v>
      </c>
      <c r="AA166" s="12">
        <f t="shared" si="12"/>
        <v>280</v>
      </c>
    </row>
    <row r="167" spans="12:27">
      <c r="L167">
        <v>130</v>
      </c>
      <c r="Q167">
        <v>170</v>
      </c>
      <c r="V167">
        <v>1</v>
      </c>
      <c r="X167" s="12">
        <f t="shared" si="9"/>
        <v>0</v>
      </c>
      <c r="Y167" s="12">
        <f t="shared" si="10"/>
        <v>0</v>
      </c>
      <c r="Z167" s="12">
        <f t="shared" si="11"/>
        <v>0</v>
      </c>
      <c r="AA167" s="12">
        <f t="shared" si="12"/>
        <v>300</v>
      </c>
    </row>
    <row r="168" spans="12:27">
      <c r="L168">
        <v>100</v>
      </c>
      <c r="Q168">
        <v>40</v>
      </c>
      <c r="V168">
        <v>1</v>
      </c>
      <c r="X168" s="12">
        <f t="shared" si="9"/>
        <v>0</v>
      </c>
      <c r="Y168" s="12">
        <f t="shared" si="10"/>
        <v>0</v>
      </c>
      <c r="Z168" s="12">
        <f t="shared" si="11"/>
        <v>0</v>
      </c>
      <c r="AA168" s="12">
        <f t="shared" si="12"/>
        <v>140</v>
      </c>
    </row>
    <row r="169" spans="12:27">
      <c r="L169">
        <v>340</v>
      </c>
      <c r="Q169">
        <v>320</v>
      </c>
      <c r="V169">
        <v>3</v>
      </c>
      <c r="X169" s="12">
        <f t="shared" si="9"/>
        <v>0</v>
      </c>
      <c r="Y169" s="12">
        <f t="shared" si="10"/>
        <v>0</v>
      </c>
      <c r="Z169" s="12">
        <f t="shared" si="11"/>
        <v>0</v>
      </c>
      <c r="AA169" s="12">
        <f t="shared" si="12"/>
        <v>660</v>
      </c>
    </row>
    <row r="170" spans="12:27">
      <c r="L170">
        <v>0</v>
      </c>
      <c r="Q170">
        <v>260</v>
      </c>
      <c r="V170">
        <v>0</v>
      </c>
      <c r="X170" s="12">
        <f t="shared" si="9"/>
        <v>0</v>
      </c>
      <c r="Y170" s="12">
        <f t="shared" si="10"/>
        <v>0</v>
      </c>
      <c r="Z170" s="12">
        <f t="shared" si="11"/>
        <v>0</v>
      </c>
      <c r="AA170" s="12">
        <f t="shared" si="12"/>
        <v>260</v>
      </c>
    </row>
    <row r="171" spans="12:27">
      <c r="L171">
        <v>420</v>
      </c>
      <c r="Q171">
        <v>1820</v>
      </c>
      <c r="V171">
        <v>4</v>
      </c>
      <c r="X171" s="12">
        <f t="shared" si="9"/>
        <v>0</v>
      </c>
      <c r="Y171" s="12">
        <f t="shared" si="10"/>
        <v>0</v>
      </c>
      <c r="Z171" s="12">
        <f t="shared" si="11"/>
        <v>0</v>
      </c>
      <c r="AA171" s="12">
        <f t="shared" si="12"/>
        <v>2240</v>
      </c>
    </row>
    <row r="172" spans="12:27">
      <c r="L172">
        <v>0</v>
      </c>
      <c r="Q172">
        <v>630</v>
      </c>
      <c r="V172">
        <v>0</v>
      </c>
      <c r="X172" s="12">
        <f t="shared" si="9"/>
        <v>0</v>
      </c>
      <c r="Y172" s="12">
        <f t="shared" si="10"/>
        <v>0</v>
      </c>
      <c r="Z172" s="12">
        <f t="shared" si="11"/>
        <v>0</v>
      </c>
      <c r="AA172" s="12">
        <f t="shared" si="12"/>
        <v>630</v>
      </c>
    </row>
    <row r="173" spans="12:27">
      <c r="L173">
        <v>310</v>
      </c>
      <c r="Q173">
        <v>190</v>
      </c>
      <c r="V173">
        <v>4</v>
      </c>
      <c r="X173" s="12">
        <f t="shared" si="9"/>
        <v>0</v>
      </c>
      <c r="Y173" s="12">
        <f t="shared" si="10"/>
        <v>0</v>
      </c>
      <c r="Z173" s="12">
        <f t="shared" si="11"/>
        <v>0</v>
      </c>
      <c r="AA173" s="12">
        <f t="shared" si="12"/>
        <v>500</v>
      </c>
    </row>
    <row r="174" spans="12:27">
      <c r="L174">
        <v>450</v>
      </c>
      <c r="Q174">
        <v>260</v>
      </c>
      <c r="V174">
        <v>4</v>
      </c>
      <c r="X174" s="12">
        <f t="shared" si="9"/>
        <v>0</v>
      </c>
      <c r="Y174" s="12">
        <f t="shared" si="10"/>
        <v>0</v>
      </c>
      <c r="Z174" s="12">
        <f t="shared" si="11"/>
        <v>0</v>
      </c>
      <c r="AA174" s="12">
        <f t="shared" si="12"/>
        <v>710</v>
      </c>
    </row>
    <row r="175" spans="12:27">
      <c r="L175">
        <v>180</v>
      </c>
      <c r="Q175">
        <v>100</v>
      </c>
      <c r="V175">
        <v>2</v>
      </c>
      <c r="X175" s="12">
        <f t="shared" si="9"/>
        <v>0</v>
      </c>
      <c r="Y175" s="12">
        <f t="shared" si="10"/>
        <v>0</v>
      </c>
      <c r="Z175" s="12">
        <f t="shared" si="11"/>
        <v>0</v>
      </c>
      <c r="AA175" s="12">
        <f t="shared" si="12"/>
        <v>280</v>
      </c>
    </row>
    <row r="176" spans="12:27">
      <c r="L176">
        <v>320</v>
      </c>
      <c r="Q176">
        <v>540</v>
      </c>
      <c r="V176">
        <v>15</v>
      </c>
      <c r="X176" s="12">
        <f t="shared" si="9"/>
        <v>0</v>
      </c>
      <c r="Y176" s="12">
        <f t="shared" si="10"/>
        <v>0</v>
      </c>
      <c r="Z176" s="12">
        <f t="shared" si="11"/>
        <v>0</v>
      </c>
      <c r="AA176" s="12">
        <f t="shared" si="12"/>
        <v>860</v>
      </c>
    </row>
    <row r="177" spans="12:27">
      <c r="L177">
        <v>80</v>
      </c>
      <c r="Q177">
        <v>240</v>
      </c>
      <c r="V177">
        <v>0</v>
      </c>
      <c r="X177" s="12">
        <f t="shared" si="9"/>
        <v>0</v>
      </c>
      <c r="Y177" s="12">
        <f t="shared" si="10"/>
        <v>0</v>
      </c>
      <c r="Z177" s="12">
        <f t="shared" si="11"/>
        <v>0</v>
      </c>
      <c r="AA177" s="12">
        <f t="shared" si="12"/>
        <v>320</v>
      </c>
    </row>
    <row r="178" spans="12:27">
      <c r="L178">
        <v>200</v>
      </c>
      <c r="Q178">
        <v>0</v>
      </c>
      <c r="V178">
        <v>2</v>
      </c>
      <c r="X178" s="12">
        <f t="shared" si="9"/>
        <v>0</v>
      </c>
      <c r="Y178" s="12">
        <f t="shared" si="10"/>
        <v>0</v>
      </c>
      <c r="Z178" s="12">
        <f t="shared" si="11"/>
        <v>0</v>
      </c>
      <c r="AA178" s="12">
        <f t="shared" si="12"/>
        <v>200</v>
      </c>
    </row>
    <row r="179" spans="12:27">
      <c r="L179">
        <v>240</v>
      </c>
      <c r="Q179">
        <v>330</v>
      </c>
      <c r="V179">
        <v>2</v>
      </c>
      <c r="X179" s="12">
        <f t="shared" si="9"/>
        <v>0</v>
      </c>
      <c r="Y179" s="12">
        <f t="shared" si="10"/>
        <v>0</v>
      </c>
      <c r="Z179" s="12">
        <f t="shared" si="11"/>
        <v>0</v>
      </c>
      <c r="AA179" s="12">
        <f t="shared" si="12"/>
        <v>570</v>
      </c>
    </row>
    <row r="180" spans="12:27">
      <c r="L180">
        <v>1150</v>
      </c>
      <c r="Q180">
        <v>520</v>
      </c>
      <c r="V180">
        <v>10</v>
      </c>
      <c r="X180" s="12">
        <f t="shared" si="9"/>
        <v>0</v>
      </c>
      <c r="Y180" s="12">
        <f t="shared" si="10"/>
        <v>0</v>
      </c>
      <c r="Z180" s="12">
        <f t="shared" si="11"/>
        <v>0</v>
      </c>
      <c r="AA180" s="12">
        <f t="shared" si="12"/>
        <v>1670</v>
      </c>
    </row>
    <row r="181" spans="12:27">
      <c r="L181">
        <v>790</v>
      </c>
      <c r="Q181">
        <v>1690</v>
      </c>
      <c r="V181">
        <v>8</v>
      </c>
      <c r="X181" s="12">
        <f t="shared" si="9"/>
        <v>0</v>
      </c>
      <c r="Y181" s="12">
        <f t="shared" si="10"/>
        <v>0</v>
      </c>
      <c r="Z181" s="12">
        <f t="shared" si="11"/>
        <v>0</v>
      </c>
      <c r="AA181" s="12">
        <f t="shared" si="12"/>
        <v>2480</v>
      </c>
    </row>
    <row r="182" spans="12:27">
      <c r="L182">
        <v>0</v>
      </c>
      <c r="Q182">
        <v>30</v>
      </c>
      <c r="V182">
        <v>0</v>
      </c>
      <c r="X182" s="12">
        <f t="shared" si="9"/>
        <v>0</v>
      </c>
      <c r="Y182" s="12">
        <f t="shared" si="10"/>
        <v>0</v>
      </c>
      <c r="Z182" s="12">
        <f t="shared" si="11"/>
        <v>0</v>
      </c>
      <c r="AA182" s="12">
        <f t="shared" si="12"/>
        <v>30</v>
      </c>
    </row>
    <row r="183" spans="12:27">
      <c r="L183">
        <v>780</v>
      </c>
      <c r="Q183">
        <v>360</v>
      </c>
      <c r="V183">
        <v>5</v>
      </c>
      <c r="X183" s="12">
        <f t="shared" si="9"/>
        <v>0</v>
      </c>
      <c r="Y183" s="12">
        <f t="shared" si="10"/>
        <v>0</v>
      </c>
      <c r="Z183" s="12">
        <f t="shared" si="11"/>
        <v>0</v>
      </c>
      <c r="AA183" s="12">
        <f t="shared" si="12"/>
        <v>1140</v>
      </c>
    </row>
    <row r="184" spans="12:27">
      <c r="L184">
        <v>590</v>
      </c>
      <c r="Q184">
        <v>260</v>
      </c>
      <c r="V184">
        <v>5</v>
      </c>
      <c r="X184" s="12">
        <f t="shared" si="9"/>
        <v>0</v>
      </c>
      <c r="Y184" s="12">
        <f t="shared" si="10"/>
        <v>0</v>
      </c>
      <c r="Z184" s="12">
        <f t="shared" si="11"/>
        <v>0</v>
      </c>
      <c r="AA184" s="12">
        <f t="shared" si="12"/>
        <v>850</v>
      </c>
    </row>
    <row r="185" spans="12:27">
      <c r="L185">
        <v>240</v>
      </c>
      <c r="Q185">
        <v>280</v>
      </c>
      <c r="V185">
        <v>2</v>
      </c>
      <c r="X185" s="12">
        <f t="shared" si="9"/>
        <v>0</v>
      </c>
      <c r="Y185" s="12">
        <f t="shared" si="10"/>
        <v>0</v>
      </c>
      <c r="Z185" s="12">
        <f t="shared" si="11"/>
        <v>0</v>
      </c>
      <c r="AA185" s="12">
        <f t="shared" si="12"/>
        <v>520</v>
      </c>
    </row>
    <row r="186" spans="12:27">
      <c r="L186">
        <v>1210</v>
      </c>
      <c r="Q186">
        <v>340</v>
      </c>
      <c r="V186">
        <v>12</v>
      </c>
      <c r="X186" s="12">
        <f t="shared" si="9"/>
        <v>0</v>
      </c>
      <c r="Y186" s="12">
        <f t="shared" si="10"/>
        <v>0</v>
      </c>
      <c r="Z186" s="12">
        <f t="shared" si="11"/>
        <v>0</v>
      </c>
      <c r="AA186" s="12">
        <f t="shared" si="12"/>
        <v>1550</v>
      </c>
    </row>
    <row r="187" spans="12:27">
      <c r="L187">
        <v>0</v>
      </c>
      <c r="Q187">
        <v>320</v>
      </c>
      <c r="V187">
        <v>0</v>
      </c>
      <c r="X187" s="12">
        <f t="shared" si="9"/>
        <v>0</v>
      </c>
      <c r="Y187" s="12">
        <f t="shared" si="10"/>
        <v>0</v>
      </c>
      <c r="Z187" s="12">
        <f t="shared" si="11"/>
        <v>0</v>
      </c>
      <c r="AA187" s="12">
        <f t="shared" si="12"/>
        <v>320</v>
      </c>
    </row>
    <row r="188" spans="12:27">
      <c r="L188">
        <v>100</v>
      </c>
      <c r="Q188">
        <v>60</v>
      </c>
      <c r="V188">
        <v>1</v>
      </c>
      <c r="X188" s="12">
        <f t="shared" si="9"/>
        <v>0</v>
      </c>
      <c r="Y188" s="12">
        <f t="shared" si="10"/>
        <v>0</v>
      </c>
      <c r="Z188" s="12">
        <f t="shared" si="11"/>
        <v>0</v>
      </c>
      <c r="AA188" s="12">
        <f t="shared" si="12"/>
        <v>160</v>
      </c>
    </row>
    <row r="189" spans="12:27">
      <c r="L189">
        <v>1730</v>
      </c>
      <c r="Q189">
        <v>700</v>
      </c>
      <c r="V189">
        <v>16</v>
      </c>
      <c r="X189" s="12">
        <f t="shared" si="9"/>
        <v>0</v>
      </c>
      <c r="Y189" s="12">
        <f t="shared" si="10"/>
        <v>0</v>
      </c>
      <c r="Z189" s="12">
        <f t="shared" si="11"/>
        <v>0</v>
      </c>
      <c r="AA189" s="12">
        <f t="shared" si="12"/>
        <v>2430</v>
      </c>
    </row>
    <row r="190" spans="12:27">
      <c r="L190">
        <v>0</v>
      </c>
      <c r="Q190">
        <v>1660</v>
      </c>
      <c r="V190">
        <v>0</v>
      </c>
      <c r="X190" s="12">
        <f t="shared" si="9"/>
        <v>0</v>
      </c>
      <c r="Y190" s="12">
        <f t="shared" si="10"/>
        <v>0</v>
      </c>
      <c r="Z190" s="12">
        <f t="shared" si="11"/>
        <v>0</v>
      </c>
      <c r="AA190" s="12">
        <f t="shared" si="12"/>
        <v>1660</v>
      </c>
    </row>
    <row r="191" spans="12:27">
      <c r="L191">
        <v>400</v>
      </c>
      <c r="Q191">
        <v>500</v>
      </c>
      <c r="V191">
        <v>4</v>
      </c>
      <c r="X191" s="12">
        <f t="shared" si="9"/>
        <v>0</v>
      </c>
      <c r="Y191" s="12">
        <f t="shared" si="10"/>
        <v>0</v>
      </c>
      <c r="Z191" s="12">
        <f t="shared" si="11"/>
        <v>0</v>
      </c>
      <c r="AA191" s="12">
        <f t="shared" si="12"/>
        <v>900</v>
      </c>
    </row>
    <row r="192" spans="12:27">
      <c r="L192">
        <v>420</v>
      </c>
      <c r="Q192">
        <v>200</v>
      </c>
      <c r="V192">
        <v>4</v>
      </c>
      <c r="X192" s="12">
        <f t="shared" si="9"/>
        <v>0</v>
      </c>
      <c r="Y192" s="12">
        <f t="shared" si="10"/>
        <v>0</v>
      </c>
      <c r="Z192" s="12">
        <f t="shared" si="11"/>
        <v>0</v>
      </c>
      <c r="AA192" s="12">
        <f t="shared" si="12"/>
        <v>620</v>
      </c>
    </row>
    <row r="193" spans="12:27">
      <c r="L193">
        <v>500</v>
      </c>
      <c r="Q193">
        <v>170</v>
      </c>
      <c r="V193">
        <v>5</v>
      </c>
      <c r="X193" s="12">
        <f t="shared" si="9"/>
        <v>0</v>
      </c>
      <c r="Y193" s="12">
        <f t="shared" si="10"/>
        <v>0</v>
      </c>
      <c r="Z193" s="12">
        <f t="shared" si="11"/>
        <v>0</v>
      </c>
      <c r="AA193" s="12">
        <f t="shared" si="12"/>
        <v>670</v>
      </c>
    </row>
    <row r="194" spans="12:27">
      <c r="L194">
        <v>140</v>
      </c>
      <c r="Q194">
        <v>140</v>
      </c>
      <c r="V194">
        <v>1</v>
      </c>
      <c r="X194" s="12">
        <f t="shared" si="9"/>
        <v>0</v>
      </c>
      <c r="Y194" s="12">
        <f t="shared" si="10"/>
        <v>0</v>
      </c>
      <c r="Z194" s="12">
        <f t="shared" si="11"/>
        <v>0</v>
      </c>
      <c r="AA194" s="12">
        <f t="shared" si="12"/>
        <v>280</v>
      </c>
    </row>
    <row r="195" spans="12:27">
      <c r="L195">
        <v>610</v>
      </c>
      <c r="Q195">
        <v>90</v>
      </c>
      <c r="V195">
        <v>6</v>
      </c>
      <c r="X195" s="12">
        <f t="shared" si="9"/>
        <v>0</v>
      </c>
      <c r="Y195" s="12">
        <f t="shared" si="10"/>
        <v>0</v>
      </c>
      <c r="Z195" s="12">
        <f t="shared" si="11"/>
        <v>0</v>
      </c>
      <c r="AA195" s="12">
        <f t="shared" si="12"/>
        <v>700</v>
      </c>
    </row>
    <row r="196" spans="12:27">
      <c r="L196">
        <v>90</v>
      </c>
      <c r="Q196">
        <v>170</v>
      </c>
      <c r="V196">
        <v>0</v>
      </c>
      <c r="X196" s="12">
        <f t="shared" ref="X196:X259" si="13">(I196+N196)</f>
        <v>0</v>
      </c>
      <c r="Y196" s="12">
        <f t="shared" ref="Y196:Y259" si="14">(J196+O196)</f>
        <v>0</v>
      </c>
      <c r="Z196" s="12">
        <f t="shared" ref="Z196:Z259" si="15">(K196+P196)</f>
        <v>0</v>
      </c>
      <c r="AA196" s="12">
        <f t="shared" ref="AA196:AA259" si="16">(L196+Q196)</f>
        <v>260</v>
      </c>
    </row>
    <row r="197" spans="12:27">
      <c r="L197">
        <v>1600</v>
      </c>
      <c r="Q197">
        <v>860</v>
      </c>
      <c r="V197">
        <v>15</v>
      </c>
      <c r="X197" s="12">
        <f t="shared" si="13"/>
        <v>0</v>
      </c>
      <c r="Y197" s="12">
        <f t="shared" si="14"/>
        <v>0</v>
      </c>
      <c r="Z197" s="12">
        <f t="shared" si="15"/>
        <v>0</v>
      </c>
      <c r="AA197" s="12">
        <f t="shared" si="16"/>
        <v>2460</v>
      </c>
    </row>
    <row r="198" spans="12:27">
      <c r="L198">
        <v>880</v>
      </c>
      <c r="Q198">
        <v>670</v>
      </c>
      <c r="V198">
        <v>8</v>
      </c>
      <c r="X198" s="12">
        <f t="shared" si="13"/>
        <v>0</v>
      </c>
      <c r="Y198" s="12">
        <f t="shared" si="14"/>
        <v>0</v>
      </c>
      <c r="Z198" s="12">
        <f t="shared" si="15"/>
        <v>0</v>
      </c>
      <c r="AA198" s="12">
        <f t="shared" si="16"/>
        <v>1550</v>
      </c>
    </row>
    <row r="199" spans="12:27">
      <c r="L199">
        <v>100</v>
      </c>
      <c r="Q199">
        <v>400</v>
      </c>
      <c r="V199">
        <v>1</v>
      </c>
      <c r="X199" s="12">
        <f t="shared" si="13"/>
        <v>0</v>
      </c>
      <c r="Y199" s="12">
        <f t="shared" si="14"/>
        <v>0</v>
      </c>
      <c r="Z199" s="12">
        <f t="shared" si="15"/>
        <v>0</v>
      </c>
      <c r="AA199" s="12">
        <f t="shared" si="16"/>
        <v>500</v>
      </c>
    </row>
    <row r="200" spans="12:27">
      <c r="L200">
        <v>160</v>
      </c>
      <c r="Q200">
        <v>260</v>
      </c>
      <c r="V200">
        <v>1</v>
      </c>
      <c r="X200" s="12">
        <f t="shared" si="13"/>
        <v>0</v>
      </c>
      <c r="Y200" s="12">
        <f t="shared" si="14"/>
        <v>0</v>
      </c>
      <c r="Z200" s="12">
        <f t="shared" si="15"/>
        <v>0</v>
      </c>
      <c r="AA200" s="12">
        <f t="shared" si="16"/>
        <v>420</v>
      </c>
    </row>
    <row r="201" spans="12:27">
      <c r="L201">
        <v>210</v>
      </c>
      <c r="Q201">
        <v>30</v>
      </c>
      <c r="V201">
        <v>2</v>
      </c>
      <c r="X201" s="12">
        <f t="shared" si="13"/>
        <v>0</v>
      </c>
      <c r="Y201" s="12">
        <f t="shared" si="14"/>
        <v>0</v>
      </c>
      <c r="Z201" s="12">
        <f t="shared" si="15"/>
        <v>0</v>
      </c>
      <c r="AA201" s="12">
        <f t="shared" si="16"/>
        <v>240</v>
      </c>
    </row>
    <row r="202" spans="12:27">
      <c r="L202">
        <v>300</v>
      </c>
      <c r="Q202">
        <v>80</v>
      </c>
      <c r="V202">
        <v>3</v>
      </c>
      <c r="X202" s="12">
        <f t="shared" si="13"/>
        <v>0</v>
      </c>
      <c r="Y202" s="12">
        <f t="shared" si="14"/>
        <v>0</v>
      </c>
      <c r="Z202" s="12">
        <f t="shared" si="15"/>
        <v>0</v>
      </c>
      <c r="AA202" s="12">
        <f t="shared" si="16"/>
        <v>380</v>
      </c>
    </row>
    <row r="203" spans="12:27">
      <c r="L203">
        <v>790</v>
      </c>
      <c r="Q203">
        <v>250</v>
      </c>
      <c r="V203">
        <v>8</v>
      </c>
      <c r="X203" s="12">
        <f t="shared" si="13"/>
        <v>0</v>
      </c>
      <c r="Y203" s="12">
        <f t="shared" si="14"/>
        <v>0</v>
      </c>
      <c r="Z203" s="12">
        <f t="shared" si="15"/>
        <v>0</v>
      </c>
      <c r="AA203" s="12">
        <f t="shared" si="16"/>
        <v>1040</v>
      </c>
    </row>
    <row r="204" spans="12:27">
      <c r="L204">
        <v>120</v>
      </c>
      <c r="Q204">
        <v>160</v>
      </c>
      <c r="V204">
        <v>1</v>
      </c>
      <c r="X204" s="12">
        <f t="shared" si="13"/>
        <v>0</v>
      </c>
      <c r="Y204" s="12">
        <f t="shared" si="14"/>
        <v>0</v>
      </c>
      <c r="Z204" s="12">
        <f t="shared" si="15"/>
        <v>0</v>
      </c>
      <c r="AA204" s="12">
        <f t="shared" si="16"/>
        <v>280</v>
      </c>
    </row>
    <row r="205" spans="12:27">
      <c r="L205">
        <v>0</v>
      </c>
      <c r="Q205">
        <v>150</v>
      </c>
      <c r="V205">
        <v>0</v>
      </c>
      <c r="X205" s="12">
        <f t="shared" si="13"/>
        <v>0</v>
      </c>
      <c r="Y205" s="12">
        <f t="shared" si="14"/>
        <v>0</v>
      </c>
      <c r="Z205" s="12">
        <f t="shared" si="15"/>
        <v>0</v>
      </c>
      <c r="AA205" s="12">
        <f t="shared" si="16"/>
        <v>150</v>
      </c>
    </row>
    <row r="206" spans="12:27">
      <c r="L206">
        <v>450</v>
      </c>
      <c r="Q206">
        <v>140</v>
      </c>
      <c r="V206">
        <v>4</v>
      </c>
      <c r="X206" s="12">
        <f t="shared" si="13"/>
        <v>0</v>
      </c>
      <c r="Y206" s="12">
        <f t="shared" si="14"/>
        <v>0</v>
      </c>
      <c r="Z206" s="12">
        <f t="shared" si="15"/>
        <v>0</v>
      </c>
      <c r="AA206" s="12">
        <f t="shared" si="16"/>
        <v>590</v>
      </c>
    </row>
    <row r="207" spans="12:27">
      <c r="L207">
        <v>120</v>
      </c>
      <c r="Q207">
        <v>0</v>
      </c>
      <c r="V207">
        <v>1</v>
      </c>
      <c r="X207" s="12">
        <f t="shared" si="13"/>
        <v>0</v>
      </c>
      <c r="Y207" s="12">
        <f t="shared" si="14"/>
        <v>0</v>
      </c>
      <c r="Z207" s="12">
        <f t="shared" si="15"/>
        <v>0</v>
      </c>
      <c r="AA207" s="12">
        <f t="shared" si="16"/>
        <v>120</v>
      </c>
    </row>
    <row r="208" spans="12:27">
      <c r="L208">
        <v>470</v>
      </c>
      <c r="Q208">
        <v>210</v>
      </c>
      <c r="V208">
        <v>4</v>
      </c>
      <c r="X208" s="12">
        <f t="shared" si="13"/>
        <v>0</v>
      </c>
      <c r="Y208" s="12">
        <f t="shared" si="14"/>
        <v>0</v>
      </c>
      <c r="Z208" s="12">
        <f t="shared" si="15"/>
        <v>0</v>
      </c>
      <c r="AA208" s="12">
        <f t="shared" si="16"/>
        <v>680</v>
      </c>
    </row>
    <row r="209" spans="12:27">
      <c r="L209">
        <v>470</v>
      </c>
      <c r="Q209">
        <v>880</v>
      </c>
      <c r="V209">
        <v>3</v>
      </c>
      <c r="X209" s="12">
        <f t="shared" si="13"/>
        <v>0</v>
      </c>
      <c r="Y209" s="12">
        <f t="shared" si="14"/>
        <v>0</v>
      </c>
      <c r="Z209" s="12">
        <f t="shared" si="15"/>
        <v>0</v>
      </c>
      <c r="AA209" s="12">
        <f t="shared" si="16"/>
        <v>1350</v>
      </c>
    </row>
    <row r="210" spans="12:27">
      <c r="L210">
        <v>420</v>
      </c>
      <c r="Q210">
        <v>80</v>
      </c>
      <c r="V210">
        <v>4</v>
      </c>
      <c r="X210" s="12">
        <f t="shared" si="13"/>
        <v>0</v>
      </c>
      <c r="Y210" s="12">
        <f t="shared" si="14"/>
        <v>0</v>
      </c>
      <c r="Z210" s="12">
        <f t="shared" si="15"/>
        <v>0</v>
      </c>
      <c r="AA210" s="12">
        <f t="shared" si="16"/>
        <v>500</v>
      </c>
    </row>
    <row r="211" spans="12:27">
      <c r="L211">
        <v>1230</v>
      </c>
      <c r="Q211">
        <v>230</v>
      </c>
      <c r="V211">
        <v>12</v>
      </c>
      <c r="X211" s="12">
        <f t="shared" si="13"/>
        <v>0</v>
      </c>
      <c r="Y211" s="12">
        <f t="shared" si="14"/>
        <v>0</v>
      </c>
      <c r="Z211" s="12">
        <f t="shared" si="15"/>
        <v>0</v>
      </c>
      <c r="AA211" s="12">
        <f t="shared" si="16"/>
        <v>1460</v>
      </c>
    </row>
    <row r="212" spans="12:27">
      <c r="L212">
        <v>450</v>
      </c>
      <c r="Q212">
        <v>290</v>
      </c>
      <c r="V212">
        <v>4</v>
      </c>
      <c r="X212" s="12">
        <f t="shared" si="13"/>
        <v>0</v>
      </c>
      <c r="Y212" s="12">
        <f t="shared" si="14"/>
        <v>0</v>
      </c>
      <c r="Z212" s="12">
        <f t="shared" si="15"/>
        <v>0</v>
      </c>
      <c r="AA212" s="12">
        <f t="shared" si="16"/>
        <v>740</v>
      </c>
    </row>
    <row r="213" spans="12:27">
      <c r="L213">
        <v>450</v>
      </c>
      <c r="Q213">
        <v>350</v>
      </c>
      <c r="V213">
        <v>4</v>
      </c>
      <c r="X213" s="12">
        <f t="shared" si="13"/>
        <v>0</v>
      </c>
      <c r="Y213" s="12">
        <f t="shared" si="14"/>
        <v>0</v>
      </c>
      <c r="Z213" s="12">
        <f t="shared" si="15"/>
        <v>0</v>
      </c>
      <c r="AA213" s="12">
        <f t="shared" si="16"/>
        <v>800</v>
      </c>
    </row>
    <row r="214" spans="12:27">
      <c r="L214">
        <v>3060</v>
      </c>
      <c r="Q214">
        <v>1580</v>
      </c>
      <c r="V214">
        <v>22</v>
      </c>
      <c r="X214" s="12">
        <f t="shared" si="13"/>
        <v>0</v>
      </c>
      <c r="Y214" s="12">
        <f t="shared" si="14"/>
        <v>0</v>
      </c>
      <c r="Z214" s="12">
        <f t="shared" si="15"/>
        <v>0</v>
      </c>
      <c r="AA214" s="12">
        <f t="shared" si="16"/>
        <v>4640</v>
      </c>
    </row>
    <row r="215" spans="12:27">
      <c r="L215">
        <v>0</v>
      </c>
      <c r="Q215">
        <v>120</v>
      </c>
      <c r="V215">
        <v>0</v>
      </c>
      <c r="X215" s="12">
        <f t="shared" si="13"/>
        <v>0</v>
      </c>
      <c r="Y215" s="12">
        <f t="shared" si="14"/>
        <v>0</v>
      </c>
      <c r="Z215" s="12">
        <f t="shared" si="15"/>
        <v>0</v>
      </c>
      <c r="AA215" s="12">
        <f t="shared" si="16"/>
        <v>120</v>
      </c>
    </row>
    <row r="216" spans="12:27">
      <c r="L216">
        <v>750</v>
      </c>
      <c r="Q216">
        <v>450</v>
      </c>
      <c r="V216">
        <v>7</v>
      </c>
      <c r="X216" s="12">
        <f t="shared" si="13"/>
        <v>0</v>
      </c>
      <c r="Y216" s="12">
        <f t="shared" si="14"/>
        <v>0</v>
      </c>
      <c r="Z216" s="12">
        <f t="shared" si="15"/>
        <v>0</v>
      </c>
      <c r="AA216" s="12">
        <f t="shared" si="16"/>
        <v>1200</v>
      </c>
    </row>
    <row r="217" spans="12:27">
      <c r="L217">
        <v>900</v>
      </c>
      <c r="Q217">
        <v>870</v>
      </c>
      <c r="V217">
        <v>7</v>
      </c>
      <c r="X217" s="12">
        <f t="shared" si="13"/>
        <v>0</v>
      </c>
      <c r="Y217" s="12">
        <f t="shared" si="14"/>
        <v>0</v>
      </c>
      <c r="Z217" s="12">
        <f t="shared" si="15"/>
        <v>0</v>
      </c>
      <c r="AA217" s="12">
        <f t="shared" si="16"/>
        <v>1770</v>
      </c>
    </row>
    <row r="218" spans="12:27">
      <c r="L218">
        <v>350</v>
      </c>
      <c r="Q218">
        <v>270</v>
      </c>
      <c r="V218">
        <v>2</v>
      </c>
      <c r="X218" s="12">
        <f t="shared" si="13"/>
        <v>0</v>
      </c>
      <c r="Y218" s="12">
        <f t="shared" si="14"/>
        <v>0</v>
      </c>
      <c r="Z218" s="12">
        <f t="shared" si="15"/>
        <v>0</v>
      </c>
      <c r="AA218" s="12">
        <f t="shared" si="16"/>
        <v>620</v>
      </c>
    </row>
    <row r="219" spans="12:27">
      <c r="L219">
        <v>2100</v>
      </c>
      <c r="Q219">
        <v>480</v>
      </c>
      <c r="V219">
        <v>19</v>
      </c>
      <c r="X219" s="12">
        <f t="shared" si="13"/>
        <v>0</v>
      </c>
      <c r="Y219" s="12">
        <f t="shared" si="14"/>
        <v>0</v>
      </c>
      <c r="Z219" s="12">
        <f t="shared" si="15"/>
        <v>0</v>
      </c>
      <c r="AA219" s="12">
        <f t="shared" si="16"/>
        <v>2580</v>
      </c>
    </row>
    <row r="220" spans="12:27">
      <c r="L220">
        <v>170</v>
      </c>
      <c r="Q220">
        <v>330</v>
      </c>
      <c r="V220">
        <v>2</v>
      </c>
      <c r="X220" s="12">
        <f t="shared" si="13"/>
        <v>0</v>
      </c>
      <c r="Y220" s="12">
        <f t="shared" si="14"/>
        <v>0</v>
      </c>
      <c r="Z220" s="12">
        <f t="shared" si="15"/>
        <v>0</v>
      </c>
      <c r="AA220" s="12">
        <f t="shared" si="16"/>
        <v>500</v>
      </c>
    </row>
    <row r="221" spans="12:27">
      <c r="L221">
        <v>360</v>
      </c>
      <c r="Q221">
        <v>200</v>
      </c>
      <c r="V221">
        <v>2</v>
      </c>
      <c r="X221" s="12">
        <f t="shared" si="13"/>
        <v>0</v>
      </c>
      <c r="Y221" s="12">
        <f t="shared" si="14"/>
        <v>0</v>
      </c>
      <c r="Z221" s="12">
        <f t="shared" si="15"/>
        <v>0</v>
      </c>
      <c r="AA221" s="12">
        <f t="shared" si="16"/>
        <v>560</v>
      </c>
    </row>
    <row r="222" spans="12:27">
      <c r="L222">
        <v>3000</v>
      </c>
      <c r="Q222">
        <v>2000</v>
      </c>
      <c r="V222">
        <v>28</v>
      </c>
      <c r="X222" s="12">
        <f t="shared" si="13"/>
        <v>0</v>
      </c>
      <c r="Y222" s="12">
        <f t="shared" si="14"/>
        <v>0</v>
      </c>
      <c r="Z222" s="12">
        <f t="shared" si="15"/>
        <v>0</v>
      </c>
      <c r="AA222" s="12">
        <f t="shared" si="16"/>
        <v>5000</v>
      </c>
    </row>
    <row r="223" spans="12:27">
      <c r="L223">
        <v>4000</v>
      </c>
      <c r="Q223">
        <v>1560</v>
      </c>
      <c r="V223">
        <v>38</v>
      </c>
      <c r="X223" s="12">
        <f t="shared" si="13"/>
        <v>0</v>
      </c>
      <c r="Y223" s="12">
        <f t="shared" si="14"/>
        <v>0</v>
      </c>
      <c r="Z223" s="12">
        <f t="shared" si="15"/>
        <v>0</v>
      </c>
      <c r="AA223" s="12">
        <f t="shared" si="16"/>
        <v>5560</v>
      </c>
    </row>
    <row r="224" spans="12:27">
      <c r="L224">
        <v>0</v>
      </c>
      <c r="Q224">
        <v>1240</v>
      </c>
      <c r="V224">
        <v>0</v>
      </c>
      <c r="X224" s="12">
        <f t="shared" si="13"/>
        <v>0</v>
      </c>
      <c r="Y224" s="12">
        <f t="shared" si="14"/>
        <v>0</v>
      </c>
      <c r="Z224" s="12">
        <f t="shared" si="15"/>
        <v>0</v>
      </c>
      <c r="AA224" s="12">
        <f t="shared" si="16"/>
        <v>1240</v>
      </c>
    </row>
    <row r="225" spans="12:27">
      <c r="L225">
        <v>230</v>
      </c>
      <c r="Q225">
        <v>470</v>
      </c>
      <c r="V225">
        <v>2</v>
      </c>
      <c r="X225" s="12">
        <f t="shared" si="13"/>
        <v>0</v>
      </c>
      <c r="Y225" s="12">
        <f t="shared" si="14"/>
        <v>0</v>
      </c>
      <c r="Z225" s="12">
        <f t="shared" si="15"/>
        <v>0</v>
      </c>
      <c r="AA225" s="12">
        <f t="shared" si="16"/>
        <v>700</v>
      </c>
    </row>
    <row r="226" spans="12:27">
      <c r="L226">
        <v>370</v>
      </c>
      <c r="Q226">
        <v>570</v>
      </c>
      <c r="V226">
        <v>3</v>
      </c>
      <c r="X226" s="12">
        <f t="shared" si="13"/>
        <v>0</v>
      </c>
      <c r="Y226" s="12">
        <f t="shared" si="14"/>
        <v>0</v>
      </c>
      <c r="Z226" s="12">
        <f t="shared" si="15"/>
        <v>0</v>
      </c>
      <c r="AA226" s="12">
        <f t="shared" si="16"/>
        <v>940</v>
      </c>
    </row>
    <row r="227" spans="12:27">
      <c r="L227">
        <v>920</v>
      </c>
      <c r="Q227">
        <v>840</v>
      </c>
      <c r="V227">
        <v>1</v>
      </c>
      <c r="X227" s="12">
        <f t="shared" si="13"/>
        <v>0</v>
      </c>
      <c r="Y227" s="12">
        <f t="shared" si="14"/>
        <v>0</v>
      </c>
      <c r="Z227" s="12">
        <f t="shared" si="15"/>
        <v>0</v>
      </c>
      <c r="AA227" s="12">
        <f t="shared" si="16"/>
        <v>1760</v>
      </c>
    </row>
    <row r="228" spans="12:27">
      <c r="L228">
        <v>260</v>
      </c>
      <c r="Q228">
        <v>600</v>
      </c>
      <c r="V228">
        <v>2</v>
      </c>
      <c r="X228" s="12">
        <f t="shared" si="13"/>
        <v>0</v>
      </c>
      <c r="Y228" s="12">
        <f t="shared" si="14"/>
        <v>0</v>
      </c>
      <c r="Z228" s="12">
        <f t="shared" si="15"/>
        <v>0</v>
      </c>
      <c r="AA228" s="12">
        <f t="shared" si="16"/>
        <v>860</v>
      </c>
    </row>
    <row r="229" spans="12:27">
      <c r="L229">
        <v>1500</v>
      </c>
      <c r="Q229">
        <v>1120</v>
      </c>
      <c r="V229">
        <v>14</v>
      </c>
      <c r="X229" s="12">
        <f t="shared" si="13"/>
        <v>0</v>
      </c>
      <c r="Y229" s="12">
        <f t="shared" si="14"/>
        <v>0</v>
      </c>
      <c r="Z229" s="12">
        <f t="shared" si="15"/>
        <v>0</v>
      </c>
      <c r="AA229" s="12">
        <f t="shared" si="16"/>
        <v>2620</v>
      </c>
    </row>
    <row r="230" spans="12:27">
      <c r="L230">
        <v>260</v>
      </c>
      <c r="Q230">
        <v>660</v>
      </c>
      <c r="V230">
        <v>2</v>
      </c>
      <c r="X230" s="12">
        <f t="shared" si="13"/>
        <v>0</v>
      </c>
      <c r="Y230" s="12">
        <f t="shared" si="14"/>
        <v>0</v>
      </c>
      <c r="Z230" s="12">
        <f t="shared" si="15"/>
        <v>0</v>
      </c>
      <c r="AA230" s="12">
        <f t="shared" si="16"/>
        <v>920</v>
      </c>
    </row>
    <row r="231" spans="12:27">
      <c r="L231">
        <v>0</v>
      </c>
      <c r="Q231">
        <v>520</v>
      </c>
      <c r="V231">
        <v>0</v>
      </c>
      <c r="X231" s="12">
        <f t="shared" si="13"/>
        <v>0</v>
      </c>
      <c r="Y231" s="12">
        <f t="shared" si="14"/>
        <v>0</v>
      </c>
      <c r="Z231" s="12">
        <f t="shared" si="15"/>
        <v>0</v>
      </c>
      <c r="AA231" s="12">
        <f t="shared" si="16"/>
        <v>520</v>
      </c>
    </row>
    <row r="232" spans="12:27">
      <c r="L232">
        <v>2120</v>
      </c>
      <c r="Q232">
        <v>6920</v>
      </c>
      <c r="V232">
        <v>19</v>
      </c>
      <c r="X232" s="12">
        <f t="shared" si="13"/>
        <v>0</v>
      </c>
      <c r="Y232" s="12">
        <f t="shared" si="14"/>
        <v>0</v>
      </c>
      <c r="Z232" s="12">
        <f t="shared" si="15"/>
        <v>0</v>
      </c>
      <c r="AA232" s="12">
        <f t="shared" si="16"/>
        <v>9040</v>
      </c>
    </row>
    <row r="233" spans="12:27">
      <c r="L233">
        <v>0</v>
      </c>
      <c r="Q233">
        <v>1520</v>
      </c>
      <c r="V233">
        <v>0</v>
      </c>
      <c r="X233" s="12">
        <f t="shared" si="13"/>
        <v>0</v>
      </c>
      <c r="Y233" s="12">
        <f t="shared" si="14"/>
        <v>0</v>
      </c>
      <c r="Z233" s="12">
        <f t="shared" si="15"/>
        <v>0</v>
      </c>
      <c r="AA233" s="12">
        <f t="shared" si="16"/>
        <v>1520</v>
      </c>
    </row>
    <row r="234" spans="12:27">
      <c r="L234">
        <v>1060</v>
      </c>
      <c r="Q234">
        <v>740</v>
      </c>
      <c r="V234">
        <v>10</v>
      </c>
      <c r="X234" s="12">
        <f t="shared" si="13"/>
        <v>0</v>
      </c>
      <c r="Y234" s="12">
        <f t="shared" si="14"/>
        <v>0</v>
      </c>
      <c r="Z234" s="12">
        <f t="shared" si="15"/>
        <v>0</v>
      </c>
      <c r="AA234" s="12">
        <f t="shared" si="16"/>
        <v>1800</v>
      </c>
    </row>
    <row r="235" spans="12:27">
      <c r="L235">
        <v>840</v>
      </c>
      <c r="Q235">
        <v>300</v>
      </c>
      <c r="V235">
        <v>6</v>
      </c>
      <c r="X235" s="12">
        <f t="shared" si="13"/>
        <v>0</v>
      </c>
      <c r="Y235" s="12">
        <f t="shared" si="14"/>
        <v>0</v>
      </c>
      <c r="Z235" s="12">
        <f t="shared" si="15"/>
        <v>0</v>
      </c>
      <c r="AA235" s="12">
        <f t="shared" si="16"/>
        <v>1140</v>
      </c>
    </row>
    <row r="236" spans="12:27">
      <c r="L236">
        <v>100</v>
      </c>
      <c r="Q236">
        <v>340</v>
      </c>
      <c r="V236">
        <v>1</v>
      </c>
      <c r="X236" s="12">
        <f t="shared" si="13"/>
        <v>0</v>
      </c>
      <c r="Y236" s="12">
        <f t="shared" si="14"/>
        <v>0</v>
      </c>
      <c r="Z236" s="12">
        <f t="shared" si="15"/>
        <v>0</v>
      </c>
      <c r="AA236" s="12">
        <f t="shared" si="16"/>
        <v>440</v>
      </c>
    </row>
    <row r="237" spans="12:27">
      <c r="L237">
        <v>240</v>
      </c>
      <c r="Q237">
        <v>760</v>
      </c>
      <c r="V237">
        <v>2</v>
      </c>
      <c r="X237" s="12">
        <f t="shared" si="13"/>
        <v>0</v>
      </c>
      <c r="Y237" s="12">
        <f t="shared" si="14"/>
        <v>0</v>
      </c>
      <c r="Z237" s="12">
        <f t="shared" si="15"/>
        <v>0</v>
      </c>
      <c r="AA237" s="12">
        <f t="shared" si="16"/>
        <v>1000</v>
      </c>
    </row>
    <row r="238" spans="12:27">
      <c r="L238">
        <v>200</v>
      </c>
      <c r="Q238">
        <v>420</v>
      </c>
      <c r="V238">
        <v>2</v>
      </c>
      <c r="X238" s="12">
        <f t="shared" si="13"/>
        <v>0</v>
      </c>
      <c r="Y238" s="12">
        <f t="shared" si="14"/>
        <v>0</v>
      </c>
      <c r="Z238" s="12">
        <f t="shared" si="15"/>
        <v>0</v>
      </c>
      <c r="AA238" s="12">
        <f t="shared" si="16"/>
        <v>620</v>
      </c>
    </row>
    <row r="239" spans="12:27">
      <c r="L239">
        <v>120</v>
      </c>
      <c r="Q239">
        <v>500</v>
      </c>
      <c r="V239">
        <v>1</v>
      </c>
      <c r="X239" s="12">
        <f t="shared" si="13"/>
        <v>0</v>
      </c>
      <c r="Y239" s="12">
        <f t="shared" si="14"/>
        <v>0</v>
      </c>
      <c r="Z239" s="12">
        <f t="shared" si="15"/>
        <v>0</v>
      </c>
      <c r="AA239" s="12">
        <f t="shared" si="16"/>
        <v>620</v>
      </c>
    </row>
    <row r="240" spans="12:27">
      <c r="L240">
        <v>830</v>
      </c>
      <c r="Q240">
        <v>470</v>
      </c>
      <c r="V240">
        <v>4</v>
      </c>
      <c r="X240" s="12">
        <f t="shared" si="13"/>
        <v>0</v>
      </c>
      <c r="Y240" s="12">
        <f t="shared" si="14"/>
        <v>0</v>
      </c>
      <c r="Z240" s="12">
        <f t="shared" si="15"/>
        <v>0</v>
      </c>
      <c r="AA240" s="12">
        <f t="shared" si="16"/>
        <v>1300</v>
      </c>
    </row>
    <row r="241" spans="12:27">
      <c r="L241">
        <v>2730</v>
      </c>
      <c r="Q241">
        <v>4220</v>
      </c>
      <c r="V241">
        <v>14</v>
      </c>
      <c r="X241" s="12">
        <f t="shared" si="13"/>
        <v>0</v>
      </c>
      <c r="Y241" s="12">
        <f t="shared" si="14"/>
        <v>0</v>
      </c>
      <c r="Z241" s="12">
        <f t="shared" si="15"/>
        <v>0</v>
      </c>
      <c r="AA241" s="12">
        <f t="shared" si="16"/>
        <v>6950</v>
      </c>
    </row>
    <row r="242" spans="12:27">
      <c r="L242">
        <v>410</v>
      </c>
      <c r="Q242">
        <v>880</v>
      </c>
      <c r="V242">
        <v>2</v>
      </c>
      <c r="X242" s="12">
        <f t="shared" si="13"/>
        <v>0</v>
      </c>
      <c r="Y242" s="12">
        <f t="shared" si="14"/>
        <v>0</v>
      </c>
      <c r="Z242" s="12">
        <f t="shared" si="15"/>
        <v>0</v>
      </c>
      <c r="AA242" s="12">
        <f t="shared" si="16"/>
        <v>1290</v>
      </c>
    </row>
    <row r="243" spans="12:27">
      <c r="L243">
        <v>0</v>
      </c>
      <c r="Q243">
        <v>1940</v>
      </c>
      <c r="V243">
        <v>0</v>
      </c>
      <c r="X243" s="12">
        <f t="shared" si="13"/>
        <v>0</v>
      </c>
      <c r="Y243" s="12">
        <f t="shared" si="14"/>
        <v>0</v>
      </c>
      <c r="Z243" s="12">
        <f t="shared" si="15"/>
        <v>0</v>
      </c>
      <c r="AA243" s="12">
        <f t="shared" si="16"/>
        <v>1940</v>
      </c>
    </row>
    <row r="244" spans="12:27">
      <c r="L244">
        <v>210</v>
      </c>
      <c r="Q244">
        <v>310</v>
      </c>
      <c r="V244">
        <v>2</v>
      </c>
      <c r="X244" s="12">
        <f t="shared" si="13"/>
        <v>0</v>
      </c>
      <c r="Y244" s="12">
        <f t="shared" si="14"/>
        <v>0</v>
      </c>
      <c r="Z244" s="12">
        <f t="shared" si="15"/>
        <v>0</v>
      </c>
      <c r="AA244" s="12">
        <f t="shared" si="16"/>
        <v>520</v>
      </c>
    </row>
    <row r="245" spans="12:27">
      <c r="L245">
        <v>170</v>
      </c>
      <c r="Q245">
        <v>150</v>
      </c>
      <c r="V245">
        <v>0</v>
      </c>
      <c r="X245" s="12">
        <f t="shared" si="13"/>
        <v>0</v>
      </c>
      <c r="Y245" s="12">
        <f t="shared" si="14"/>
        <v>0</v>
      </c>
      <c r="Z245" s="12">
        <f t="shared" si="15"/>
        <v>0</v>
      </c>
      <c r="AA245" s="12">
        <f t="shared" si="16"/>
        <v>320</v>
      </c>
    </row>
    <row r="246" spans="12:27">
      <c r="L246">
        <v>900</v>
      </c>
      <c r="Q246">
        <v>600</v>
      </c>
      <c r="V246">
        <v>0</v>
      </c>
      <c r="X246" s="12">
        <f t="shared" si="13"/>
        <v>0</v>
      </c>
      <c r="Y246" s="12">
        <f t="shared" si="14"/>
        <v>0</v>
      </c>
      <c r="Z246" s="12">
        <f t="shared" si="15"/>
        <v>0</v>
      </c>
      <c r="AA246" s="12">
        <f t="shared" si="16"/>
        <v>1500</v>
      </c>
    </row>
    <row r="247" spans="12:27">
      <c r="L247">
        <v>40</v>
      </c>
      <c r="Q247">
        <v>350</v>
      </c>
      <c r="V247">
        <v>0</v>
      </c>
      <c r="X247" s="12">
        <f t="shared" si="13"/>
        <v>0</v>
      </c>
      <c r="Y247" s="12">
        <f t="shared" si="14"/>
        <v>0</v>
      </c>
      <c r="Z247" s="12">
        <f t="shared" si="15"/>
        <v>0</v>
      </c>
      <c r="AA247" s="12">
        <f t="shared" si="16"/>
        <v>390</v>
      </c>
    </row>
    <row r="248" spans="12:27">
      <c r="L248">
        <v>140</v>
      </c>
      <c r="Q248">
        <v>520</v>
      </c>
      <c r="V248">
        <v>1</v>
      </c>
      <c r="X248" s="12">
        <f t="shared" si="13"/>
        <v>0</v>
      </c>
      <c r="Y248" s="12">
        <f t="shared" si="14"/>
        <v>0</v>
      </c>
      <c r="Z248" s="12">
        <f t="shared" si="15"/>
        <v>0</v>
      </c>
      <c r="AA248" s="12">
        <f t="shared" si="16"/>
        <v>660</v>
      </c>
    </row>
    <row r="249" spans="12:27">
      <c r="L249">
        <v>150</v>
      </c>
      <c r="Q249">
        <v>0</v>
      </c>
      <c r="V249">
        <v>1</v>
      </c>
      <c r="X249" s="12">
        <f t="shared" si="13"/>
        <v>0</v>
      </c>
      <c r="Y249" s="12">
        <f t="shared" si="14"/>
        <v>0</v>
      </c>
      <c r="Z249" s="12">
        <f t="shared" si="15"/>
        <v>0</v>
      </c>
      <c r="AA249" s="12">
        <f t="shared" si="16"/>
        <v>150</v>
      </c>
    </row>
    <row r="250" spans="12:27">
      <c r="L250">
        <v>1400</v>
      </c>
      <c r="Q250">
        <v>1700</v>
      </c>
      <c r="V250">
        <v>11</v>
      </c>
      <c r="X250" s="12">
        <f t="shared" si="13"/>
        <v>0</v>
      </c>
      <c r="Y250" s="12">
        <f t="shared" si="14"/>
        <v>0</v>
      </c>
      <c r="Z250" s="12">
        <f t="shared" si="15"/>
        <v>0</v>
      </c>
      <c r="AA250" s="12">
        <f t="shared" si="16"/>
        <v>3100</v>
      </c>
    </row>
    <row r="251" spans="12:27">
      <c r="L251">
        <v>240</v>
      </c>
      <c r="Q251">
        <v>0</v>
      </c>
      <c r="V251">
        <v>2</v>
      </c>
      <c r="X251" s="12">
        <f t="shared" si="13"/>
        <v>0</v>
      </c>
      <c r="Y251" s="12">
        <f t="shared" si="14"/>
        <v>0</v>
      </c>
      <c r="Z251" s="12">
        <f t="shared" si="15"/>
        <v>0</v>
      </c>
      <c r="AA251" s="12">
        <f t="shared" si="16"/>
        <v>240</v>
      </c>
    </row>
    <row r="252" spans="12:27">
      <c r="L252">
        <v>500</v>
      </c>
      <c r="Q252">
        <v>0</v>
      </c>
      <c r="V252">
        <v>15</v>
      </c>
      <c r="X252" s="12">
        <f t="shared" si="13"/>
        <v>0</v>
      </c>
      <c r="Y252" s="12">
        <f t="shared" si="14"/>
        <v>0</v>
      </c>
      <c r="Z252" s="12">
        <f t="shared" si="15"/>
        <v>0</v>
      </c>
      <c r="AA252" s="12">
        <f t="shared" si="16"/>
        <v>500</v>
      </c>
    </row>
    <row r="253" spans="12:27">
      <c r="L253">
        <v>1120</v>
      </c>
      <c r="Q253">
        <v>0</v>
      </c>
      <c r="V253">
        <v>0</v>
      </c>
      <c r="X253" s="12">
        <f t="shared" si="13"/>
        <v>0</v>
      </c>
      <c r="Y253" s="12">
        <f t="shared" si="14"/>
        <v>0</v>
      </c>
      <c r="Z253" s="12">
        <f t="shared" si="15"/>
        <v>0</v>
      </c>
      <c r="AA253" s="12">
        <f t="shared" si="16"/>
        <v>1120</v>
      </c>
    </row>
    <row r="254" spans="12:27">
      <c r="L254">
        <v>300</v>
      </c>
      <c r="Q254">
        <v>0</v>
      </c>
      <c r="V254">
        <v>0</v>
      </c>
      <c r="X254" s="12">
        <f t="shared" si="13"/>
        <v>0</v>
      </c>
      <c r="Y254" s="12">
        <f t="shared" si="14"/>
        <v>0</v>
      </c>
      <c r="Z254" s="12">
        <f t="shared" si="15"/>
        <v>0</v>
      </c>
      <c r="AA254" s="12">
        <f t="shared" si="16"/>
        <v>300</v>
      </c>
    </row>
    <row r="255" spans="12:27">
      <c r="L255">
        <v>1140</v>
      </c>
      <c r="Q255">
        <v>0</v>
      </c>
      <c r="V255">
        <v>0</v>
      </c>
      <c r="X255" s="12">
        <f t="shared" si="13"/>
        <v>0</v>
      </c>
      <c r="Y255" s="12">
        <f t="shared" si="14"/>
        <v>0</v>
      </c>
      <c r="Z255" s="12">
        <f t="shared" si="15"/>
        <v>0</v>
      </c>
      <c r="AA255" s="12">
        <f t="shared" si="16"/>
        <v>1140</v>
      </c>
    </row>
    <row r="256" spans="12:27">
      <c r="L256">
        <v>1400</v>
      </c>
      <c r="Q256">
        <v>0</v>
      </c>
      <c r="V256">
        <v>0</v>
      </c>
      <c r="X256" s="12">
        <f t="shared" si="13"/>
        <v>0</v>
      </c>
      <c r="Y256" s="12">
        <f t="shared" si="14"/>
        <v>0</v>
      </c>
      <c r="Z256" s="12">
        <f t="shared" si="15"/>
        <v>0</v>
      </c>
      <c r="AA256" s="12">
        <f t="shared" si="16"/>
        <v>1400</v>
      </c>
    </row>
    <row r="257" spans="12:27">
      <c r="L257">
        <v>300</v>
      </c>
      <c r="Q257">
        <v>0</v>
      </c>
      <c r="V257">
        <v>0</v>
      </c>
      <c r="X257" s="12">
        <f t="shared" si="13"/>
        <v>0</v>
      </c>
      <c r="Y257" s="12">
        <f t="shared" si="14"/>
        <v>0</v>
      </c>
      <c r="Z257" s="12">
        <f t="shared" si="15"/>
        <v>0</v>
      </c>
      <c r="AA257" s="12">
        <f t="shared" si="16"/>
        <v>300</v>
      </c>
    </row>
    <row r="258" spans="12:27">
      <c r="L258">
        <v>500</v>
      </c>
      <c r="Q258">
        <v>0</v>
      </c>
      <c r="V258">
        <v>0</v>
      </c>
      <c r="X258" s="12">
        <f t="shared" si="13"/>
        <v>0</v>
      </c>
      <c r="Y258" s="12">
        <f t="shared" si="14"/>
        <v>0</v>
      </c>
      <c r="Z258" s="12">
        <f t="shared" si="15"/>
        <v>0</v>
      </c>
      <c r="AA258" s="12">
        <f t="shared" si="16"/>
        <v>500</v>
      </c>
    </row>
    <row r="259" spans="12:27">
      <c r="L259">
        <v>100</v>
      </c>
      <c r="Q259">
        <v>0</v>
      </c>
      <c r="V259">
        <v>0</v>
      </c>
      <c r="X259" s="12">
        <f t="shared" si="13"/>
        <v>0</v>
      </c>
      <c r="Y259" s="12">
        <f t="shared" si="14"/>
        <v>0</v>
      </c>
      <c r="Z259" s="12">
        <f t="shared" si="15"/>
        <v>0</v>
      </c>
      <c r="AA259" s="12">
        <f t="shared" si="16"/>
        <v>100</v>
      </c>
    </row>
    <row r="260" spans="12:27">
      <c r="L260">
        <v>6240</v>
      </c>
      <c r="Q260">
        <v>0</v>
      </c>
      <c r="V260">
        <v>0</v>
      </c>
      <c r="X260" s="12">
        <f t="shared" ref="X260:X265" si="17">(I260+N260)</f>
        <v>0</v>
      </c>
      <c r="Y260" s="12">
        <f t="shared" ref="Y260:Y265" si="18">(J260+O260)</f>
        <v>0</v>
      </c>
      <c r="Z260" s="12">
        <f t="shared" ref="Z260:Z265" si="19">(K260+P260)</f>
        <v>0</v>
      </c>
      <c r="AA260" s="12">
        <f t="shared" ref="AA260:AA265" si="20">(L260+Q260)</f>
        <v>6240</v>
      </c>
    </row>
    <row r="261" spans="12:27">
      <c r="L261">
        <v>880</v>
      </c>
      <c r="Q261">
        <v>0</v>
      </c>
      <c r="V261">
        <v>0</v>
      </c>
      <c r="X261" s="12">
        <f t="shared" si="17"/>
        <v>0</v>
      </c>
      <c r="Y261" s="12">
        <f t="shared" si="18"/>
        <v>0</v>
      </c>
      <c r="Z261" s="12">
        <f t="shared" si="19"/>
        <v>0</v>
      </c>
      <c r="AA261" s="12">
        <f t="shared" si="20"/>
        <v>880</v>
      </c>
    </row>
    <row r="262" spans="12:27">
      <c r="L262">
        <v>880</v>
      </c>
      <c r="Q262">
        <v>0</v>
      </c>
      <c r="V262">
        <v>0</v>
      </c>
      <c r="X262" s="12">
        <f t="shared" si="17"/>
        <v>0</v>
      </c>
      <c r="Y262" s="12">
        <f t="shared" si="18"/>
        <v>0</v>
      </c>
      <c r="Z262" s="12">
        <f t="shared" si="19"/>
        <v>0</v>
      </c>
      <c r="AA262" s="12">
        <f t="shared" si="20"/>
        <v>880</v>
      </c>
    </row>
    <row r="263" spans="12:27">
      <c r="L263">
        <v>320</v>
      </c>
      <c r="Q263">
        <v>0</v>
      </c>
      <c r="V263">
        <v>4</v>
      </c>
      <c r="X263" s="12">
        <f t="shared" si="17"/>
        <v>0</v>
      </c>
      <c r="Y263" s="12">
        <f t="shared" si="18"/>
        <v>0</v>
      </c>
      <c r="Z263" s="12">
        <f t="shared" si="19"/>
        <v>0</v>
      </c>
      <c r="AA263" s="12">
        <f t="shared" si="20"/>
        <v>320</v>
      </c>
    </row>
    <row r="264" spans="12:27">
      <c r="L264">
        <v>1200</v>
      </c>
      <c r="Q264">
        <v>0</v>
      </c>
      <c r="V264">
        <v>0</v>
      </c>
      <c r="X264" s="12">
        <f t="shared" si="17"/>
        <v>0</v>
      </c>
      <c r="Y264" s="12">
        <f t="shared" si="18"/>
        <v>0</v>
      </c>
      <c r="Z264" s="12">
        <f t="shared" si="19"/>
        <v>0</v>
      </c>
      <c r="AA264" s="12">
        <f t="shared" si="20"/>
        <v>1200</v>
      </c>
    </row>
    <row r="265" spans="12:27">
      <c r="L265">
        <v>3360</v>
      </c>
      <c r="Q265">
        <v>0</v>
      </c>
      <c r="V265">
        <v>0</v>
      </c>
      <c r="X265" s="12">
        <f t="shared" si="17"/>
        <v>0</v>
      </c>
      <c r="Y265" s="12">
        <f t="shared" si="18"/>
        <v>0</v>
      </c>
      <c r="Z265" s="12">
        <f t="shared" si="19"/>
        <v>0</v>
      </c>
      <c r="AA265" s="12">
        <f t="shared" si="20"/>
        <v>3360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7F2D-E8DD-4CD2-8506-522158AFCD94}">
  <dimension ref="A1:W265"/>
  <sheetViews>
    <sheetView topLeftCell="G1" workbookViewId="0">
      <selection activeCell="O8" sqref="O8"/>
    </sheetView>
  </sheetViews>
  <sheetFormatPr defaultRowHeight="18"/>
  <cols>
    <col min="16" max="16" width="14.33203125" bestFit="1" customWidth="1"/>
  </cols>
  <sheetData>
    <row r="1" spans="1:23">
      <c r="A1" t="s">
        <v>48</v>
      </c>
    </row>
    <row r="2" spans="1:23">
      <c r="A2" s="5" t="s">
        <v>5</v>
      </c>
      <c r="B2" s="5" t="s">
        <v>6</v>
      </c>
      <c r="C2" s="5" t="s">
        <v>7</v>
      </c>
      <c r="D2" s="5" t="s">
        <v>8</v>
      </c>
      <c r="E2" s="5"/>
      <c r="F2" s="5" t="s">
        <v>5</v>
      </c>
      <c r="G2" s="5" t="s">
        <v>6</v>
      </c>
      <c r="H2" s="5" t="s">
        <v>7</v>
      </c>
      <c r="I2" s="5" t="s">
        <v>8</v>
      </c>
      <c r="J2" s="5"/>
      <c r="K2" s="5" t="s">
        <v>5</v>
      </c>
      <c r="L2" s="5" t="s">
        <v>6</v>
      </c>
      <c r="M2" s="5" t="s">
        <v>7</v>
      </c>
      <c r="N2" s="5" t="s">
        <v>8</v>
      </c>
      <c r="O2" s="5"/>
      <c r="P2" s="5" t="s">
        <v>5</v>
      </c>
      <c r="Q2" s="5" t="s">
        <v>6</v>
      </c>
      <c r="R2" s="5" t="s">
        <v>7</v>
      </c>
      <c r="S2" s="5" t="s">
        <v>8</v>
      </c>
      <c r="T2" s="5"/>
      <c r="U2" s="5"/>
      <c r="V2" s="9" t="s">
        <v>66</v>
      </c>
      <c r="W2" s="5"/>
    </row>
    <row r="3" spans="1:23">
      <c r="A3" s="9" t="str" cm="1">
        <f t="array" ref="A3:D54">_xlfn._xlws.FILTER(元!E4:H447,ISNUMBER(SEARCH("かおり",元!E4:E447)))</f>
        <v>かおり野</v>
      </c>
      <c r="B3">
        <v>240</v>
      </c>
      <c r="C3">
        <v>0</v>
      </c>
      <c r="D3">
        <v>3</v>
      </c>
      <c r="F3" s="9" t="str" cm="1">
        <f t="array" ref="F3:I54">_xlfn._xlws.FILTER(元!E4:H447,ISNUMBER(SEARCH("よつぼし",元!E4:E447)))</f>
        <v>よつぼし</v>
      </c>
      <c r="G3">
        <v>46</v>
      </c>
      <c r="H3">
        <v>0</v>
      </c>
      <c r="I3">
        <v>0</v>
      </c>
      <c r="K3" s="9" t="str" cm="1">
        <f t="array" ref="K3:N75">_xlfn._xlws.FILTER(元!E4:H447,ISNUMBER(SEARCH("やよい",元!E4:E447)))</f>
        <v>やよい姫</v>
      </c>
      <c r="L3">
        <v>800</v>
      </c>
      <c r="M3">
        <v>0</v>
      </c>
      <c r="N3">
        <v>7</v>
      </c>
      <c r="P3" t="str" cm="1">
        <f t="array" ref="P3:S265">_xlfn._xlws.FILTER(元!E4:H447, (ISNUMBER(SEARCH("紅",元!E4:E447))) + (ISNUMBER(SEARCH("無",元!E4:E447 ))) )</f>
        <v>紅ほっぺ（断）</v>
      </c>
      <c r="Q3">
        <v>100</v>
      </c>
      <c r="R3">
        <v>0</v>
      </c>
      <c r="S3">
        <v>0</v>
      </c>
      <c r="V3" s="9" t="s">
        <v>112</v>
      </c>
    </row>
    <row r="4" spans="1:23">
      <c r="A4" t="str">
        <v>かおり野</v>
      </c>
      <c r="B4">
        <v>1510</v>
      </c>
      <c r="C4">
        <v>0</v>
      </c>
      <c r="D4">
        <v>12</v>
      </c>
      <c r="F4" t="str">
        <v>よつぼし</v>
      </c>
      <c r="G4">
        <v>0</v>
      </c>
      <c r="H4">
        <v>200</v>
      </c>
      <c r="I4">
        <v>0</v>
      </c>
      <c r="K4" t="str">
        <v>やよい姫</v>
      </c>
      <c r="L4">
        <v>300</v>
      </c>
      <c r="M4">
        <v>0</v>
      </c>
      <c r="N4">
        <v>1</v>
      </c>
      <c r="P4" t="str">
        <v>紅ほっぺ(断）</v>
      </c>
      <c r="Q4">
        <v>100</v>
      </c>
      <c r="R4">
        <v>0</v>
      </c>
      <c r="S4">
        <v>1</v>
      </c>
      <c r="V4" t="s">
        <v>116</v>
      </c>
    </row>
    <row r="5" spans="1:23">
      <c r="A5" t="str">
        <v>かおり野</v>
      </c>
      <c r="B5">
        <v>120</v>
      </c>
      <c r="C5">
        <v>0</v>
      </c>
      <c r="D5">
        <v>0</v>
      </c>
      <c r="F5" t="str">
        <v>よつぼし</v>
      </c>
      <c r="G5">
        <v>240</v>
      </c>
      <c r="H5">
        <v>0</v>
      </c>
      <c r="I5">
        <v>0</v>
      </c>
      <c r="K5" t="str">
        <v>やよい姫</v>
      </c>
      <c r="L5">
        <v>440</v>
      </c>
      <c r="M5">
        <v>1240</v>
      </c>
      <c r="N5">
        <v>3</v>
      </c>
      <c r="P5" t="str">
        <v>紅ほっぺ（断）</v>
      </c>
      <c r="Q5">
        <v>46</v>
      </c>
      <c r="R5">
        <v>0</v>
      </c>
      <c r="S5">
        <v>0</v>
      </c>
    </row>
    <row r="6" spans="1:23">
      <c r="A6" t="str">
        <v>かおり野</v>
      </c>
      <c r="B6">
        <v>3340</v>
      </c>
      <c r="C6">
        <v>0</v>
      </c>
      <c r="D6">
        <v>32</v>
      </c>
      <c r="F6" t="str">
        <v>よつぼし</v>
      </c>
      <c r="G6">
        <v>440</v>
      </c>
      <c r="H6">
        <v>0</v>
      </c>
      <c r="I6">
        <v>4</v>
      </c>
      <c r="K6" t="str">
        <v>やよい姫</v>
      </c>
      <c r="L6">
        <v>220</v>
      </c>
      <c r="M6">
        <v>300</v>
      </c>
      <c r="N6">
        <v>2</v>
      </c>
      <c r="P6" t="str">
        <v>紅ほっぺ（断）</v>
      </c>
      <c r="Q6">
        <v>130</v>
      </c>
      <c r="R6">
        <v>0</v>
      </c>
      <c r="S6">
        <v>0</v>
      </c>
    </row>
    <row r="7" spans="1:23">
      <c r="A7" t="str">
        <v>かおり野</v>
      </c>
      <c r="B7">
        <v>240</v>
      </c>
      <c r="C7">
        <v>0</v>
      </c>
      <c r="D7">
        <v>0</v>
      </c>
      <c r="F7" t="str">
        <v>よつぼし</v>
      </c>
      <c r="G7">
        <v>220</v>
      </c>
      <c r="H7">
        <v>0</v>
      </c>
      <c r="I7">
        <v>0</v>
      </c>
      <c r="K7" t="str">
        <v>やよいひめ</v>
      </c>
      <c r="L7">
        <v>1820</v>
      </c>
      <c r="M7">
        <v>158</v>
      </c>
      <c r="N7">
        <v>15</v>
      </c>
      <c r="P7" t="str">
        <v>紅ほっぺ（断）</v>
      </c>
      <c r="Q7">
        <v>100</v>
      </c>
      <c r="R7">
        <v>0</v>
      </c>
      <c r="S7">
        <v>0</v>
      </c>
    </row>
    <row r="8" spans="1:23">
      <c r="A8" t="str">
        <v>かおり野</v>
      </c>
      <c r="B8">
        <v>5140</v>
      </c>
      <c r="C8">
        <v>0</v>
      </c>
      <c r="D8">
        <v>31</v>
      </c>
      <c r="F8" t="str">
        <v>よつぼし</v>
      </c>
      <c r="G8">
        <v>960</v>
      </c>
      <c r="H8">
        <v>560</v>
      </c>
      <c r="I8">
        <v>8</v>
      </c>
      <c r="K8" t="str">
        <v>やよいひめ</v>
      </c>
      <c r="L8">
        <v>260</v>
      </c>
      <c r="M8">
        <v>110</v>
      </c>
      <c r="N8">
        <v>1</v>
      </c>
      <c r="P8" t="str">
        <v>紅ほっぺ（断）</v>
      </c>
      <c r="Q8">
        <v>320</v>
      </c>
      <c r="R8">
        <v>0</v>
      </c>
      <c r="S8">
        <v>3</v>
      </c>
    </row>
    <row r="9" spans="1:23">
      <c r="A9" t="str">
        <v>かおり野</v>
      </c>
      <c r="B9">
        <v>480</v>
      </c>
      <c r="C9">
        <v>0</v>
      </c>
      <c r="D9">
        <v>0</v>
      </c>
      <c r="F9" t="str">
        <v>よつぼし</v>
      </c>
      <c r="G9">
        <v>500</v>
      </c>
      <c r="H9">
        <v>0</v>
      </c>
      <c r="I9">
        <v>0</v>
      </c>
      <c r="K9" t="str">
        <v>やよいひめ</v>
      </c>
      <c r="L9">
        <v>180</v>
      </c>
      <c r="M9">
        <v>60</v>
      </c>
      <c r="N9">
        <v>1</v>
      </c>
      <c r="P9" t="str">
        <v>紅ほっぺ（断）</v>
      </c>
      <c r="Q9">
        <v>260</v>
      </c>
      <c r="R9">
        <v>0</v>
      </c>
      <c r="S9">
        <v>0</v>
      </c>
    </row>
    <row r="10" spans="1:23">
      <c r="A10" t="str">
        <v>かおり野</v>
      </c>
      <c r="B10">
        <v>840</v>
      </c>
      <c r="C10">
        <v>0</v>
      </c>
      <c r="D10">
        <v>0</v>
      </c>
      <c r="F10" t="str">
        <v>よつぼし</v>
      </c>
      <c r="G10">
        <v>160</v>
      </c>
      <c r="H10">
        <v>800</v>
      </c>
      <c r="I10">
        <v>0</v>
      </c>
      <c r="K10" t="str">
        <v>やよいひめ</v>
      </c>
      <c r="L10">
        <v>1680</v>
      </c>
      <c r="M10">
        <v>1540</v>
      </c>
      <c r="N10">
        <v>12</v>
      </c>
      <c r="P10" t="str">
        <v>紅ほっぺ（断）</v>
      </c>
      <c r="Q10">
        <v>195</v>
      </c>
      <c r="R10">
        <v>0</v>
      </c>
      <c r="S10">
        <v>0</v>
      </c>
    </row>
    <row r="11" spans="1:23">
      <c r="A11" t="str">
        <v>かおり野</v>
      </c>
      <c r="B11">
        <v>1600</v>
      </c>
      <c r="C11">
        <v>500</v>
      </c>
      <c r="D11">
        <v>15</v>
      </c>
      <c r="F11" t="str">
        <v>よつぼし</v>
      </c>
      <c r="G11">
        <v>880</v>
      </c>
      <c r="H11">
        <v>0</v>
      </c>
      <c r="I11">
        <v>6</v>
      </c>
      <c r="K11" t="str">
        <v>やよいひめ</v>
      </c>
      <c r="L11">
        <v>868</v>
      </c>
      <c r="M11">
        <v>712</v>
      </c>
      <c r="N11">
        <v>7</v>
      </c>
      <c r="P11" t="str">
        <v>紅ほっぺ（断）</v>
      </c>
      <c r="Q11">
        <v>170</v>
      </c>
      <c r="R11">
        <v>0</v>
      </c>
      <c r="S11">
        <v>0</v>
      </c>
    </row>
    <row r="12" spans="1:23">
      <c r="A12" t="str">
        <v>かおり野</v>
      </c>
      <c r="B12">
        <v>300</v>
      </c>
      <c r="C12">
        <v>0</v>
      </c>
      <c r="D12">
        <v>0</v>
      </c>
      <c r="F12" t="str">
        <v>よつぼし</v>
      </c>
      <c r="G12">
        <v>1240</v>
      </c>
      <c r="H12">
        <v>0</v>
      </c>
      <c r="I12">
        <v>10</v>
      </c>
      <c r="K12" t="str">
        <v>やよいひめ</v>
      </c>
      <c r="L12">
        <v>120</v>
      </c>
      <c r="M12">
        <v>60</v>
      </c>
      <c r="N12">
        <v>1</v>
      </c>
      <c r="P12" t="str">
        <v>紅ほっぺ（断）</v>
      </c>
      <c r="Q12">
        <v>320</v>
      </c>
      <c r="R12">
        <v>0</v>
      </c>
      <c r="S12">
        <v>0</v>
      </c>
    </row>
    <row r="13" spans="1:23">
      <c r="A13" t="str">
        <v>かおり野</v>
      </c>
      <c r="B13">
        <v>4700</v>
      </c>
      <c r="C13">
        <v>0</v>
      </c>
      <c r="D13">
        <v>42</v>
      </c>
      <c r="F13" t="str">
        <v>よつぼし</v>
      </c>
      <c r="G13">
        <v>500</v>
      </c>
      <c r="H13">
        <v>0</v>
      </c>
      <c r="I13">
        <v>2</v>
      </c>
      <c r="K13" t="str">
        <v>やよいひめ</v>
      </c>
      <c r="L13">
        <v>1200</v>
      </c>
      <c r="M13">
        <v>1640</v>
      </c>
      <c r="N13">
        <v>11</v>
      </c>
      <c r="P13" t="str">
        <v>紅ほっぺ（断）</v>
      </c>
      <c r="Q13">
        <v>200</v>
      </c>
      <c r="R13">
        <v>0</v>
      </c>
      <c r="S13">
        <v>0</v>
      </c>
    </row>
    <row r="14" spans="1:23">
      <c r="A14" t="str">
        <v>かおり野</v>
      </c>
      <c r="B14">
        <v>220</v>
      </c>
      <c r="C14">
        <v>0</v>
      </c>
      <c r="D14">
        <v>1</v>
      </c>
      <c r="F14" t="str">
        <v>よつぼし</v>
      </c>
      <c r="G14">
        <v>1880</v>
      </c>
      <c r="H14">
        <v>2480</v>
      </c>
      <c r="I14">
        <v>10</v>
      </c>
      <c r="K14" t="str">
        <v>やよいひめ</v>
      </c>
      <c r="L14">
        <v>1370</v>
      </c>
      <c r="M14">
        <v>1430</v>
      </c>
      <c r="N14">
        <v>11</v>
      </c>
      <c r="P14" t="str">
        <v>紅ほっぺ（断）</v>
      </c>
      <c r="Q14">
        <v>540</v>
      </c>
      <c r="R14">
        <v>0</v>
      </c>
      <c r="S14">
        <v>3</v>
      </c>
    </row>
    <row r="15" spans="1:23">
      <c r="A15" t="str">
        <v>かおり野</v>
      </c>
      <c r="B15">
        <v>1460</v>
      </c>
      <c r="C15">
        <v>0</v>
      </c>
      <c r="D15">
        <v>12</v>
      </c>
      <c r="F15" t="str">
        <v>よつぼし</v>
      </c>
      <c r="G15">
        <v>210</v>
      </c>
      <c r="H15">
        <v>330</v>
      </c>
      <c r="I15">
        <v>2</v>
      </c>
      <c r="K15" t="str">
        <v>やよいひめ</v>
      </c>
      <c r="L15">
        <v>0</v>
      </c>
      <c r="M15">
        <v>0</v>
      </c>
      <c r="N15">
        <v>0</v>
      </c>
      <c r="P15" t="str">
        <v>紅ほっぺ</v>
      </c>
      <c r="Q15">
        <v>80</v>
      </c>
      <c r="R15">
        <v>0</v>
      </c>
      <c r="S15">
        <v>0</v>
      </c>
    </row>
    <row r="16" spans="1:23">
      <c r="A16" t="str">
        <v>かおり野</v>
      </c>
      <c r="B16">
        <v>520</v>
      </c>
      <c r="C16">
        <v>0</v>
      </c>
      <c r="D16">
        <v>2</v>
      </c>
      <c r="F16" t="str">
        <v>よつぼし</v>
      </c>
      <c r="G16">
        <v>2036</v>
      </c>
      <c r="H16">
        <v>435</v>
      </c>
      <c r="I16">
        <v>15</v>
      </c>
      <c r="K16" t="str">
        <v>やよいひめ</v>
      </c>
      <c r="L16">
        <v>1060</v>
      </c>
      <c r="M16">
        <v>2560</v>
      </c>
      <c r="N16">
        <v>8</v>
      </c>
      <c r="P16" t="str">
        <v>紅ほっぺ（断）</v>
      </c>
      <c r="Q16">
        <v>260</v>
      </c>
      <c r="R16">
        <v>0</v>
      </c>
      <c r="S16">
        <v>0</v>
      </c>
    </row>
    <row r="17" spans="1:19">
      <c r="A17" t="str">
        <v>かおり野</v>
      </c>
      <c r="B17">
        <v>820</v>
      </c>
      <c r="C17">
        <v>822</v>
      </c>
      <c r="D17">
        <v>8</v>
      </c>
      <c r="F17" t="str">
        <v>よつぼし</v>
      </c>
      <c r="G17">
        <v>220</v>
      </c>
      <c r="H17">
        <v>120</v>
      </c>
      <c r="I17">
        <v>1</v>
      </c>
      <c r="K17" t="str">
        <v>やよいひめ</v>
      </c>
      <c r="L17">
        <v>1160</v>
      </c>
      <c r="M17">
        <v>1600</v>
      </c>
      <c r="N17">
        <v>9</v>
      </c>
      <c r="P17" t="str">
        <v>紅ほっぺ</v>
      </c>
      <c r="Q17">
        <v>120</v>
      </c>
      <c r="R17">
        <v>0</v>
      </c>
      <c r="S17">
        <v>0</v>
      </c>
    </row>
    <row r="18" spans="1:19">
      <c r="A18" t="str">
        <v>かおり野</v>
      </c>
      <c r="B18">
        <v>128</v>
      </c>
      <c r="C18">
        <v>282</v>
      </c>
      <c r="D18">
        <v>1</v>
      </c>
      <c r="F18" t="str">
        <v>よつぼし</v>
      </c>
      <c r="G18">
        <v>1990</v>
      </c>
      <c r="H18">
        <v>1250</v>
      </c>
      <c r="I18">
        <v>17</v>
      </c>
      <c r="K18" t="str">
        <v>やよいひめ</v>
      </c>
      <c r="L18">
        <v>0</v>
      </c>
      <c r="M18">
        <v>0</v>
      </c>
      <c r="N18">
        <v>0</v>
      </c>
      <c r="P18" t="str">
        <v>紅ほっぺ（断）</v>
      </c>
      <c r="Q18">
        <v>120</v>
      </c>
      <c r="R18">
        <v>0</v>
      </c>
      <c r="S18">
        <v>0</v>
      </c>
    </row>
    <row r="19" spans="1:19">
      <c r="A19" t="str">
        <v>かおり野</v>
      </c>
      <c r="B19">
        <v>1880</v>
      </c>
      <c r="C19">
        <v>665</v>
      </c>
      <c r="D19">
        <v>9</v>
      </c>
      <c r="F19" t="str">
        <v>よつぼし</v>
      </c>
      <c r="G19">
        <v>260</v>
      </c>
      <c r="H19">
        <v>60</v>
      </c>
      <c r="I19">
        <v>1</v>
      </c>
      <c r="K19" t="str">
        <v>やよいひめ</v>
      </c>
      <c r="L19">
        <v>600</v>
      </c>
      <c r="M19">
        <v>1760</v>
      </c>
      <c r="N19">
        <v>5</v>
      </c>
      <c r="P19" t="str">
        <v>紅ほっぺ（断）</v>
      </c>
      <c r="Q19">
        <v>80</v>
      </c>
      <c r="R19">
        <v>0</v>
      </c>
      <c r="S19">
        <v>0</v>
      </c>
    </row>
    <row r="20" spans="1:19">
      <c r="A20" t="str">
        <v>かおり野</v>
      </c>
      <c r="B20">
        <v>300</v>
      </c>
      <c r="C20">
        <v>90</v>
      </c>
      <c r="D20">
        <v>2</v>
      </c>
      <c r="F20" t="str">
        <v>よつぼし</v>
      </c>
      <c r="G20">
        <v>1990</v>
      </c>
      <c r="H20">
        <v>1350</v>
      </c>
      <c r="I20">
        <v>17</v>
      </c>
      <c r="K20" t="str">
        <v>やよいひめ</v>
      </c>
      <c r="L20">
        <v>0</v>
      </c>
      <c r="M20">
        <v>0</v>
      </c>
      <c r="N20">
        <v>0</v>
      </c>
      <c r="P20" t="str">
        <v>紅ほっぺ（断）</v>
      </c>
      <c r="Q20">
        <v>400</v>
      </c>
      <c r="R20">
        <v>0</v>
      </c>
      <c r="S20">
        <v>0</v>
      </c>
    </row>
    <row r="21" spans="1:19">
      <c r="A21" t="str">
        <v>かおり野</v>
      </c>
      <c r="B21">
        <v>400</v>
      </c>
      <c r="C21">
        <v>920</v>
      </c>
      <c r="D21">
        <v>4</v>
      </c>
      <c r="F21" t="str">
        <v>よつぼし</v>
      </c>
      <c r="G21">
        <v>0</v>
      </c>
      <c r="H21">
        <v>0</v>
      </c>
      <c r="I21">
        <v>0</v>
      </c>
      <c r="K21" t="str">
        <v>やよいひめ</v>
      </c>
      <c r="L21">
        <v>0</v>
      </c>
      <c r="M21">
        <v>0</v>
      </c>
      <c r="N21">
        <v>0</v>
      </c>
      <c r="P21" t="str">
        <v>紅ほっぺ</v>
      </c>
      <c r="Q21">
        <v>100</v>
      </c>
      <c r="R21">
        <v>0</v>
      </c>
      <c r="S21">
        <v>0</v>
      </c>
    </row>
    <row r="22" spans="1:19">
      <c r="A22" t="str">
        <v>かおり野</v>
      </c>
      <c r="B22">
        <v>260</v>
      </c>
      <c r="C22">
        <v>40</v>
      </c>
      <c r="D22">
        <v>2</v>
      </c>
      <c r="F22" t="str">
        <v>よつぼし</v>
      </c>
      <c r="G22">
        <v>2300</v>
      </c>
      <c r="H22">
        <v>325</v>
      </c>
      <c r="I22">
        <v>22</v>
      </c>
      <c r="K22" t="str">
        <v>やよいひめ</v>
      </c>
      <c r="L22">
        <v>250</v>
      </c>
      <c r="M22">
        <v>1510</v>
      </c>
      <c r="N22">
        <v>2</v>
      </c>
      <c r="P22" t="str">
        <v>紅ほっぺ（断）</v>
      </c>
      <c r="Q22">
        <v>120</v>
      </c>
      <c r="R22">
        <v>0</v>
      </c>
      <c r="S22">
        <v>0</v>
      </c>
    </row>
    <row r="23" spans="1:19">
      <c r="A23" t="str">
        <v>かおり野</v>
      </c>
      <c r="B23">
        <v>580</v>
      </c>
      <c r="C23">
        <v>180</v>
      </c>
      <c r="D23">
        <v>5</v>
      </c>
      <c r="F23" t="str">
        <v>よつぼし</v>
      </c>
      <c r="G23">
        <v>200</v>
      </c>
      <c r="H23">
        <v>166</v>
      </c>
      <c r="I23">
        <v>1</v>
      </c>
      <c r="K23" t="str">
        <v>やよいひめ</v>
      </c>
      <c r="L23">
        <v>1340</v>
      </c>
      <c r="M23">
        <v>2060</v>
      </c>
      <c r="N23">
        <v>7</v>
      </c>
      <c r="P23" t="str">
        <v>紅ほっぺ（断）</v>
      </c>
      <c r="Q23">
        <v>320</v>
      </c>
      <c r="R23">
        <v>0</v>
      </c>
      <c r="S23">
        <v>0</v>
      </c>
    </row>
    <row r="24" spans="1:19">
      <c r="A24" t="str">
        <v>かおり野</v>
      </c>
      <c r="B24">
        <v>139</v>
      </c>
      <c r="C24">
        <v>220</v>
      </c>
      <c r="D24">
        <v>0</v>
      </c>
      <c r="F24" t="str">
        <v>よつぼし</v>
      </c>
      <c r="G24">
        <v>1326</v>
      </c>
      <c r="H24">
        <v>2050</v>
      </c>
      <c r="I24">
        <v>12</v>
      </c>
      <c r="K24" t="str">
        <v>やよいひめ</v>
      </c>
      <c r="L24">
        <v>160</v>
      </c>
      <c r="M24">
        <v>0</v>
      </c>
      <c r="N24">
        <v>1</v>
      </c>
      <c r="P24" t="str">
        <v>紅ほっぺ（断）</v>
      </c>
      <c r="Q24">
        <v>60</v>
      </c>
      <c r="R24">
        <v>0</v>
      </c>
      <c r="S24">
        <v>0</v>
      </c>
    </row>
    <row r="25" spans="1:19">
      <c r="A25" t="str">
        <v>かおり野</v>
      </c>
      <c r="B25">
        <v>1500</v>
      </c>
      <c r="C25">
        <v>573</v>
      </c>
      <c r="D25">
        <v>5</v>
      </c>
      <c r="F25" t="str">
        <v>よつぼし</v>
      </c>
      <c r="G25">
        <v>300</v>
      </c>
      <c r="H25">
        <v>0</v>
      </c>
      <c r="I25">
        <v>3</v>
      </c>
      <c r="K25" t="str">
        <v>やよいひめ</v>
      </c>
      <c r="L25">
        <v>130</v>
      </c>
      <c r="M25">
        <v>1550</v>
      </c>
      <c r="N25">
        <v>1</v>
      </c>
      <c r="P25" t="str">
        <v>紅ほっぺ</v>
      </c>
      <c r="Q25">
        <v>960</v>
      </c>
      <c r="R25">
        <v>0</v>
      </c>
      <c r="S25">
        <v>5</v>
      </c>
    </row>
    <row r="26" spans="1:19">
      <c r="A26" t="str">
        <v>かおり野</v>
      </c>
      <c r="B26">
        <v>140</v>
      </c>
      <c r="C26">
        <v>269</v>
      </c>
      <c r="D26">
        <v>1</v>
      </c>
      <c r="F26" t="str">
        <v>よつぼし</v>
      </c>
      <c r="G26">
        <v>1160</v>
      </c>
      <c r="H26">
        <v>2420</v>
      </c>
      <c r="I26">
        <v>11</v>
      </c>
      <c r="K26" t="str">
        <v>やよいひめ</v>
      </c>
      <c r="L26">
        <v>460</v>
      </c>
      <c r="M26">
        <v>1800</v>
      </c>
      <c r="N26">
        <v>2</v>
      </c>
      <c r="P26" t="str">
        <v>紅ほっぺ（断）</v>
      </c>
      <c r="Q26">
        <v>240</v>
      </c>
      <c r="R26">
        <v>0</v>
      </c>
      <c r="S26">
        <v>0</v>
      </c>
    </row>
    <row r="27" spans="1:19">
      <c r="A27" t="str">
        <v>かおり野</v>
      </c>
      <c r="B27">
        <v>300</v>
      </c>
      <c r="C27">
        <v>940</v>
      </c>
      <c r="D27">
        <v>2</v>
      </c>
      <c r="F27" t="str">
        <v>よつぼし</v>
      </c>
      <c r="G27">
        <v>360</v>
      </c>
      <c r="H27">
        <v>3190</v>
      </c>
      <c r="I27">
        <v>0</v>
      </c>
      <c r="K27" t="str">
        <v>やよいひめ</v>
      </c>
      <c r="L27">
        <v>340</v>
      </c>
      <c r="M27">
        <v>750</v>
      </c>
      <c r="N27">
        <v>3</v>
      </c>
      <c r="P27" t="str">
        <v>紅ほっぺ</v>
      </c>
      <c r="Q27">
        <v>3940</v>
      </c>
      <c r="R27">
        <v>0</v>
      </c>
      <c r="S27">
        <v>28</v>
      </c>
    </row>
    <row r="28" spans="1:19">
      <c r="A28" t="str">
        <v>かおり野</v>
      </c>
      <c r="B28">
        <v>340</v>
      </c>
      <c r="C28">
        <v>1840</v>
      </c>
      <c r="D28">
        <v>1</v>
      </c>
      <c r="F28" t="str">
        <v>よつぼし</v>
      </c>
      <c r="G28">
        <v>551</v>
      </c>
      <c r="H28">
        <v>479</v>
      </c>
      <c r="I28">
        <v>5</v>
      </c>
      <c r="K28" t="str">
        <v>やよいひめ</v>
      </c>
      <c r="L28">
        <v>0</v>
      </c>
      <c r="M28">
        <v>220</v>
      </c>
      <c r="N28">
        <v>0</v>
      </c>
      <c r="P28" t="str">
        <v>紅ほっぺ</v>
      </c>
      <c r="Q28">
        <v>340</v>
      </c>
      <c r="R28">
        <v>0</v>
      </c>
      <c r="S28">
        <v>0</v>
      </c>
    </row>
    <row r="29" spans="1:19">
      <c r="A29" t="str">
        <v>かおり野</v>
      </c>
      <c r="B29">
        <v>0</v>
      </c>
      <c r="C29">
        <v>0</v>
      </c>
      <c r="D29">
        <v>0</v>
      </c>
      <c r="F29" t="str">
        <v>よつぼし</v>
      </c>
      <c r="G29">
        <v>0</v>
      </c>
      <c r="H29">
        <v>720</v>
      </c>
      <c r="I29">
        <v>0</v>
      </c>
      <c r="K29" t="str">
        <v>やよいひめ</v>
      </c>
      <c r="L29">
        <v>0</v>
      </c>
      <c r="M29">
        <v>600</v>
      </c>
      <c r="N29">
        <v>0</v>
      </c>
      <c r="P29" t="str">
        <v>紅ほっぺ（断）</v>
      </c>
      <c r="Q29">
        <v>100</v>
      </c>
      <c r="R29">
        <v>0</v>
      </c>
      <c r="S29">
        <v>0</v>
      </c>
    </row>
    <row r="30" spans="1:19">
      <c r="A30" t="str">
        <v>かおり野</v>
      </c>
      <c r="B30">
        <v>340</v>
      </c>
      <c r="C30">
        <v>2200</v>
      </c>
      <c r="D30">
        <v>2</v>
      </c>
      <c r="F30" t="str">
        <v>よつぼし</v>
      </c>
      <c r="G30">
        <v>440</v>
      </c>
      <c r="H30">
        <v>1360</v>
      </c>
      <c r="I30">
        <v>4</v>
      </c>
      <c r="K30" t="str">
        <v>やよいひめ</v>
      </c>
      <c r="L30">
        <v>860</v>
      </c>
      <c r="M30">
        <v>1740</v>
      </c>
      <c r="N30">
        <v>7</v>
      </c>
      <c r="P30" t="str">
        <v>紅ほっぺ</v>
      </c>
      <c r="Q30">
        <v>1140</v>
      </c>
      <c r="R30">
        <v>0</v>
      </c>
      <c r="S30">
        <v>0</v>
      </c>
    </row>
    <row r="31" spans="1:19">
      <c r="A31" t="str">
        <v>かおりの</v>
      </c>
      <c r="B31">
        <v>340</v>
      </c>
      <c r="C31">
        <v>0</v>
      </c>
      <c r="D31">
        <v>2</v>
      </c>
      <c r="F31" t="str">
        <v>よつぼし</v>
      </c>
      <c r="G31">
        <v>0</v>
      </c>
      <c r="H31">
        <v>300</v>
      </c>
      <c r="I31">
        <v>0</v>
      </c>
      <c r="K31" t="str">
        <v>やよいひめ</v>
      </c>
      <c r="L31">
        <v>330</v>
      </c>
      <c r="M31">
        <v>290</v>
      </c>
      <c r="N31">
        <v>3</v>
      </c>
      <c r="P31" t="str">
        <v>紅ほっぺ（断）</v>
      </c>
      <c r="Q31">
        <v>1120</v>
      </c>
      <c r="R31">
        <v>0</v>
      </c>
      <c r="S31">
        <v>10</v>
      </c>
    </row>
    <row r="32" spans="1:19">
      <c r="A32" t="str">
        <v>かおり野</v>
      </c>
      <c r="B32">
        <v>0</v>
      </c>
      <c r="C32">
        <v>360</v>
      </c>
      <c r="D32">
        <v>0</v>
      </c>
      <c r="F32" t="str">
        <v>よつぼし</v>
      </c>
      <c r="G32">
        <v>100</v>
      </c>
      <c r="H32">
        <v>610</v>
      </c>
      <c r="I32">
        <v>1</v>
      </c>
      <c r="K32" t="str">
        <v>やよいひめ</v>
      </c>
      <c r="L32">
        <v>120</v>
      </c>
      <c r="M32">
        <v>440</v>
      </c>
      <c r="N32">
        <v>1</v>
      </c>
      <c r="P32" t="str">
        <v>紅ほっぺ</v>
      </c>
      <c r="Q32">
        <v>600</v>
      </c>
      <c r="R32">
        <v>0</v>
      </c>
      <c r="S32">
        <v>5</v>
      </c>
    </row>
    <row r="33" spans="1:19">
      <c r="A33" t="str">
        <v>かおり野</v>
      </c>
      <c r="B33">
        <v>270</v>
      </c>
      <c r="C33">
        <v>270</v>
      </c>
      <c r="D33">
        <v>2</v>
      </c>
      <c r="F33" t="str">
        <v>よつぼし</v>
      </c>
      <c r="G33">
        <v>0</v>
      </c>
      <c r="H33">
        <v>440</v>
      </c>
      <c r="I33">
        <v>0</v>
      </c>
      <c r="K33" t="str">
        <v>やよいひめ</v>
      </c>
      <c r="L33">
        <v>240</v>
      </c>
      <c r="M33">
        <v>1360</v>
      </c>
      <c r="N33">
        <v>2</v>
      </c>
      <c r="P33" t="str">
        <v>紅ほっぺ（断）</v>
      </c>
      <c r="Q33">
        <v>300</v>
      </c>
      <c r="R33">
        <v>0</v>
      </c>
      <c r="S33">
        <v>1</v>
      </c>
    </row>
    <row r="34" spans="1:19">
      <c r="A34" t="str">
        <v>かおり野</v>
      </c>
      <c r="B34">
        <v>140</v>
      </c>
      <c r="C34">
        <v>600</v>
      </c>
      <c r="D34">
        <v>1</v>
      </c>
      <c r="F34" t="str">
        <v>よつぼし</v>
      </c>
      <c r="G34">
        <v>100</v>
      </c>
      <c r="H34">
        <v>100</v>
      </c>
      <c r="I34">
        <v>1</v>
      </c>
      <c r="K34" t="str">
        <v>やよいひめ</v>
      </c>
      <c r="L34">
        <v>590</v>
      </c>
      <c r="M34">
        <v>570</v>
      </c>
      <c r="N34">
        <v>4</v>
      </c>
      <c r="P34" t="str">
        <v>紅ほっぺ</v>
      </c>
      <c r="Q34">
        <v>980</v>
      </c>
      <c r="R34">
        <v>0</v>
      </c>
      <c r="S34">
        <v>8</v>
      </c>
    </row>
    <row r="35" spans="1:19">
      <c r="A35" t="str">
        <v>かおり野</v>
      </c>
      <c r="B35">
        <v>0</v>
      </c>
      <c r="C35">
        <v>100</v>
      </c>
      <c r="D35">
        <v>0</v>
      </c>
      <c r="F35" t="str">
        <v>よつぼし</v>
      </c>
      <c r="G35">
        <v>320</v>
      </c>
      <c r="H35">
        <v>160</v>
      </c>
      <c r="I35">
        <v>3</v>
      </c>
      <c r="K35" t="str">
        <v>やよいひめ</v>
      </c>
      <c r="L35">
        <v>320</v>
      </c>
      <c r="M35">
        <v>280</v>
      </c>
      <c r="N35">
        <v>2</v>
      </c>
      <c r="P35" t="str">
        <v>紅ほっぺ</v>
      </c>
      <c r="Q35">
        <v>500</v>
      </c>
      <c r="R35">
        <v>0</v>
      </c>
      <c r="S35">
        <v>3</v>
      </c>
    </row>
    <row r="36" spans="1:19">
      <c r="A36" t="str">
        <v>かおり野</v>
      </c>
      <c r="B36">
        <v>1660</v>
      </c>
      <c r="C36">
        <v>830</v>
      </c>
      <c r="D36">
        <v>13</v>
      </c>
      <c r="F36" t="str">
        <v>よつぼし</v>
      </c>
      <c r="G36">
        <v>100</v>
      </c>
      <c r="H36">
        <v>0</v>
      </c>
      <c r="I36">
        <v>1</v>
      </c>
      <c r="K36" t="str">
        <v>やよいひめ</v>
      </c>
      <c r="L36">
        <v>0</v>
      </c>
      <c r="M36">
        <v>80</v>
      </c>
      <c r="N36">
        <v>0</v>
      </c>
      <c r="P36" t="str">
        <v>紅ほっぺ（断）</v>
      </c>
      <c r="Q36">
        <v>380</v>
      </c>
      <c r="R36">
        <v>0</v>
      </c>
      <c r="S36">
        <v>2</v>
      </c>
    </row>
    <row r="37" spans="1:19">
      <c r="A37" t="str">
        <v>かおり野</v>
      </c>
      <c r="B37">
        <v>110</v>
      </c>
      <c r="C37">
        <v>150</v>
      </c>
      <c r="D37">
        <v>1</v>
      </c>
      <c r="F37" t="str">
        <v>よつぼし</v>
      </c>
      <c r="G37">
        <v>320</v>
      </c>
      <c r="H37">
        <v>590</v>
      </c>
      <c r="I37">
        <v>3</v>
      </c>
      <c r="K37" t="str">
        <v>やよいひめ</v>
      </c>
      <c r="L37">
        <v>190</v>
      </c>
      <c r="M37">
        <v>150</v>
      </c>
      <c r="N37">
        <v>1</v>
      </c>
      <c r="P37" t="str">
        <v>紅ほっぺ（断）</v>
      </c>
      <c r="Q37">
        <v>1480</v>
      </c>
      <c r="R37">
        <v>0</v>
      </c>
      <c r="S37">
        <v>13</v>
      </c>
    </row>
    <row r="38" spans="1:19">
      <c r="A38" t="str">
        <v>かおり野</v>
      </c>
      <c r="B38">
        <v>2800</v>
      </c>
      <c r="C38">
        <v>1060</v>
      </c>
      <c r="D38">
        <v>24</v>
      </c>
      <c r="F38" t="str">
        <v>よつぼし</v>
      </c>
      <c r="G38">
        <v>1840</v>
      </c>
      <c r="H38">
        <v>230</v>
      </c>
      <c r="I38">
        <v>17</v>
      </c>
      <c r="K38" t="str">
        <v>やよいひめ</v>
      </c>
      <c r="L38">
        <v>1010</v>
      </c>
      <c r="M38">
        <v>2020</v>
      </c>
      <c r="N38">
        <v>9</v>
      </c>
      <c r="P38" t="str">
        <v>紅ほっぺ</v>
      </c>
      <c r="Q38">
        <v>1500</v>
      </c>
      <c r="R38">
        <v>0</v>
      </c>
      <c r="S38">
        <v>13</v>
      </c>
    </row>
    <row r="39" spans="1:19">
      <c r="A39" t="str">
        <v>かおり野</v>
      </c>
      <c r="B39">
        <v>330</v>
      </c>
      <c r="C39">
        <v>290</v>
      </c>
      <c r="D39">
        <v>3</v>
      </c>
      <c r="F39" t="str">
        <v>よつぼし</v>
      </c>
      <c r="G39">
        <v>320</v>
      </c>
      <c r="H39">
        <v>700</v>
      </c>
      <c r="I39">
        <v>3</v>
      </c>
      <c r="K39" t="str">
        <v>やよいひめ</v>
      </c>
      <c r="L39">
        <v>500</v>
      </c>
      <c r="M39">
        <v>220</v>
      </c>
      <c r="N39">
        <v>5</v>
      </c>
      <c r="P39" t="str">
        <v>紅ほっぺ（断）</v>
      </c>
      <c r="Q39">
        <v>420</v>
      </c>
      <c r="R39">
        <v>0</v>
      </c>
      <c r="S39">
        <v>3</v>
      </c>
    </row>
    <row r="40" spans="1:19">
      <c r="A40" t="str">
        <v>かおり野</v>
      </c>
      <c r="B40">
        <v>3640</v>
      </c>
      <c r="C40">
        <v>1120</v>
      </c>
      <c r="D40">
        <v>26</v>
      </c>
      <c r="F40" t="str">
        <v>よつぼし</v>
      </c>
      <c r="G40">
        <v>2250</v>
      </c>
      <c r="H40">
        <v>240</v>
      </c>
      <c r="I40">
        <v>21</v>
      </c>
      <c r="K40" t="str">
        <v>やよいひめ</v>
      </c>
      <c r="L40">
        <v>120</v>
      </c>
      <c r="M40">
        <v>220</v>
      </c>
      <c r="N40">
        <v>1</v>
      </c>
      <c r="P40" t="str">
        <v>紅ほっぺ</v>
      </c>
      <c r="Q40">
        <v>1320</v>
      </c>
      <c r="R40">
        <v>0</v>
      </c>
      <c r="S40">
        <v>11</v>
      </c>
    </row>
    <row r="41" spans="1:19">
      <c r="A41" t="str">
        <v>かおり野</v>
      </c>
      <c r="B41">
        <v>320</v>
      </c>
      <c r="C41">
        <v>240</v>
      </c>
      <c r="D41">
        <v>3</v>
      </c>
      <c r="F41" t="str">
        <v>よつぼし</v>
      </c>
      <c r="G41">
        <v>140</v>
      </c>
      <c r="H41">
        <v>600</v>
      </c>
      <c r="I41">
        <v>6</v>
      </c>
      <c r="K41" t="str">
        <v>やよいひめ</v>
      </c>
      <c r="L41">
        <v>2270</v>
      </c>
      <c r="M41">
        <v>1650</v>
      </c>
      <c r="N41">
        <v>21</v>
      </c>
      <c r="P41" t="str">
        <v>紅ほっぺ</v>
      </c>
      <c r="Q41">
        <v>820</v>
      </c>
      <c r="R41">
        <v>0</v>
      </c>
      <c r="S41">
        <v>7</v>
      </c>
    </row>
    <row r="42" spans="1:19">
      <c r="A42" t="str">
        <v>かおりの</v>
      </c>
      <c r="B42">
        <v>2330</v>
      </c>
      <c r="C42">
        <v>1170</v>
      </c>
      <c r="D42">
        <v>25</v>
      </c>
      <c r="F42" t="str">
        <v>よつぼし</v>
      </c>
      <c r="G42">
        <v>120</v>
      </c>
      <c r="H42">
        <v>200</v>
      </c>
      <c r="I42">
        <v>1</v>
      </c>
      <c r="K42" t="str">
        <v>やよいひめ</v>
      </c>
      <c r="L42">
        <v>2890</v>
      </c>
      <c r="M42">
        <v>290</v>
      </c>
      <c r="N42">
        <v>22</v>
      </c>
      <c r="P42" t="str">
        <v>紅ほっぺ（断）</v>
      </c>
      <c r="Q42">
        <v>2300</v>
      </c>
      <c r="R42">
        <v>0</v>
      </c>
      <c r="S42">
        <v>21</v>
      </c>
    </row>
    <row r="43" spans="1:19">
      <c r="A43" t="str">
        <v>かおりの</v>
      </c>
      <c r="B43">
        <v>100</v>
      </c>
      <c r="C43">
        <v>80</v>
      </c>
      <c r="D43">
        <v>1</v>
      </c>
      <c r="F43" t="str">
        <v>よつぼし</v>
      </c>
      <c r="G43">
        <v>5420</v>
      </c>
      <c r="H43">
        <v>500</v>
      </c>
      <c r="I43">
        <v>39</v>
      </c>
      <c r="K43" t="str">
        <v>やよいひめ</v>
      </c>
      <c r="L43">
        <v>510</v>
      </c>
      <c r="M43">
        <v>390</v>
      </c>
      <c r="N43">
        <v>3</v>
      </c>
      <c r="P43" t="str">
        <v>紅ほっぺ</v>
      </c>
      <c r="Q43">
        <v>740</v>
      </c>
      <c r="R43">
        <v>0</v>
      </c>
      <c r="S43">
        <v>6</v>
      </c>
    </row>
    <row r="44" spans="1:19">
      <c r="A44" t="str">
        <v>かおりの</v>
      </c>
      <c r="B44">
        <v>2180</v>
      </c>
      <c r="C44">
        <v>1000</v>
      </c>
      <c r="D44">
        <v>17</v>
      </c>
      <c r="F44" t="str">
        <v>よつぼし</v>
      </c>
      <c r="G44">
        <v>4290</v>
      </c>
      <c r="H44">
        <v>3330</v>
      </c>
      <c r="I44">
        <v>40</v>
      </c>
      <c r="K44" t="str">
        <v>やよいひめ</v>
      </c>
      <c r="L44">
        <v>410</v>
      </c>
      <c r="M44">
        <v>630</v>
      </c>
      <c r="N44">
        <v>4</v>
      </c>
      <c r="P44" t="str">
        <v>紅ほっぺ</v>
      </c>
      <c r="Q44">
        <v>886</v>
      </c>
      <c r="R44">
        <v>654</v>
      </c>
      <c r="S44">
        <v>8</v>
      </c>
    </row>
    <row r="45" spans="1:19">
      <c r="A45" t="str">
        <v>かおりの</v>
      </c>
      <c r="B45">
        <v>140</v>
      </c>
      <c r="C45">
        <v>160</v>
      </c>
      <c r="D45">
        <v>1</v>
      </c>
      <c r="F45" t="str">
        <v>よつぼし</v>
      </c>
      <c r="G45">
        <v>100</v>
      </c>
      <c r="H45">
        <v>200</v>
      </c>
      <c r="I45">
        <v>1</v>
      </c>
      <c r="K45" t="str">
        <v>やよいひめ</v>
      </c>
      <c r="L45">
        <v>5510</v>
      </c>
      <c r="M45">
        <v>1250</v>
      </c>
      <c r="N45">
        <v>52</v>
      </c>
      <c r="P45" t="str">
        <v>紅ほっぺ</v>
      </c>
      <c r="Q45">
        <v>880</v>
      </c>
      <c r="R45">
        <v>208</v>
      </c>
      <c r="S45">
        <v>7</v>
      </c>
    </row>
    <row r="46" spans="1:19">
      <c r="A46" t="str">
        <v>かおりの</v>
      </c>
      <c r="B46">
        <v>2700</v>
      </c>
      <c r="C46">
        <v>2260</v>
      </c>
      <c r="D46">
        <v>22</v>
      </c>
      <c r="F46" t="str">
        <v>よつぼし</v>
      </c>
      <c r="G46">
        <v>1110</v>
      </c>
      <c r="H46">
        <v>2930</v>
      </c>
      <c r="I46">
        <v>11</v>
      </c>
      <c r="K46" t="str">
        <v>やよいひめ</v>
      </c>
      <c r="L46">
        <v>2510</v>
      </c>
      <c r="M46">
        <v>10</v>
      </c>
      <c r="N46">
        <v>18</v>
      </c>
      <c r="P46" t="str">
        <v>紅ほっぺ（無）</v>
      </c>
      <c r="Q46">
        <v>950</v>
      </c>
      <c r="R46">
        <v>130</v>
      </c>
      <c r="S46">
        <v>8</v>
      </c>
    </row>
    <row r="47" spans="1:19">
      <c r="A47" t="str">
        <v>かおり野</v>
      </c>
      <c r="B47">
        <v>1280</v>
      </c>
      <c r="C47">
        <v>4980</v>
      </c>
      <c r="D47">
        <v>11</v>
      </c>
      <c r="F47" t="str">
        <v>よつぼし</v>
      </c>
      <c r="G47">
        <v>0</v>
      </c>
      <c r="H47">
        <v>620</v>
      </c>
      <c r="I47">
        <v>0</v>
      </c>
      <c r="K47" t="str">
        <v>やよいひめ</v>
      </c>
      <c r="L47">
        <v>780</v>
      </c>
      <c r="M47">
        <v>1250</v>
      </c>
      <c r="N47">
        <v>4</v>
      </c>
      <c r="P47" t="str">
        <v>紅ほっぺ</v>
      </c>
      <c r="Q47">
        <v>1080</v>
      </c>
      <c r="R47">
        <v>740</v>
      </c>
      <c r="S47">
        <v>9</v>
      </c>
    </row>
    <row r="48" spans="1:19">
      <c r="A48" t="str">
        <v>かおり野</v>
      </c>
      <c r="B48">
        <v>0</v>
      </c>
      <c r="C48">
        <v>500</v>
      </c>
      <c r="D48">
        <v>0</v>
      </c>
      <c r="F48" t="str">
        <v>よつぼし</v>
      </c>
      <c r="G48">
        <v>0</v>
      </c>
      <c r="H48">
        <v>3400</v>
      </c>
      <c r="I48">
        <v>0</v>
      </c>
      <c r="K48" t="str">
        <v>やよいひめ</v>
      </c>
      <c r="L48">
        <v>940</v>
      </c>
      <c r="M48">
        <v>580</v>
      </c>
      <c r="N48">
        <v>9</v>
      </c>
      <c r="P48" t="str">
        <v>紅ほっぺ</v>
      </c>
      <c r="Q48">
        <v>2732</v>
      </c>
      <c r="R48">
        <v>321</v>
      </c>
      <c r="S48">
        <v>22</v>
      </c>
    </row>
    <row r="49" spans="1:19">
      <c r="A49" t="str">
        <v>かおりの</v>
      </c>
      <c r="B49">
        <v>180</v>
      </c>
      <c r="C49">
        <v>830</v>
      </c>
      <c r="D49">
        <v>1</v>
      </c>
      <c r="F49" t="str">
        <v>よつぼし</v>
      </c>
      <c r="G49">
        <v>300</v>
      </c>
      <c r="H49">
        <v>4860</v>
      </c>
      <c r="I49">
        <v>3</v>
      </c>
      <c r="K49" t="str">
        <v>やよいひめ</v>
      </c>
      <c r="L49">
        <v>2530</v>
      </c>
      <c r="M49">
        <v>810</v>
      </c>
      <c r="N49">
        <v>23</v>
      </c>
      <c r="P49" t="str">
        <v>紅ほっぺ</v>
      </c>
      <c r="Q49">
        <v>840</v>
      </c>
      <c r="R49">
        <v>147</v>
      </c>
      <c r="S49">
        <v>6</v>
      </c>
    </row>
    <row r="50" spans="1:19">
      <c r="A50" t="str">
        <v>かおりの</v>
      </c>
      <c r="B50">
        <v>0</v>
      </c>
      <c r="C50">
        <v>260</v>
      </c>
      <c r="D50">
        <v>0</v>
      </c>
      <c r="F50" t="str">
        <v>よつぼし</v>
      </c>
      <c r="G50">
        <v>0</v>
      </c>
      <c r="H50">
        <v>460</v>
      </c>
      <c r="I50">
        <v>0</v>
      </c>
      <c r="K50" t="str">
        <v>やよいひめ</v>
      </c>
      <c r="L50">
        <v>1530</v>
      </c>
      <c r="M50">
        <v>30</v>
      </c>
      <c r="N50">
        <v>15</v>
      </c>
      <c r="P50" t="str">
        <v>紅ほっぺ（無）</v>
      </c>
      <c r="Q50">
        <v>380</v>
      </c>
      <c r="R50">
        <v>180</v>
      </c>
      <c r="S50">
        <v>3</v>
      </c>
    </row>
    <row r="51" spans="1:19">
      <c r="A51" t="str">
        <v>かおりの</v>
      </c>
      <c r="B51">
        <v>200</v>
      </c>
      <c r="C51">
        <v>480</v>
      </c>
      <c r="D51">
        <v>2</v>
      </c>
      <c r="F51" t="str">
        <v>よつぼし</v>
      </c>
      <c r="G51">
        <v>330</v>
      </c>
      <c r="H51">
        <v>1970</v>
      </c>
      <c r="I51">
        <v>2</v>
      </c>
      <c r="K51" t="str">
        <v>やよいひめ</v>
      </c>
      <c r="L51">
        <v>460</v>
      </c>
      <c r="M51">
        <v>0</v>
      </c>
      <c r="N51">
        <v>2</v>
      </c>
      <c r="P51" t="str">
        <v>紅ほっぺ（無）</v>
      </c>
      <c r="Q51">
        <v>840</v>
      </c>
      <c r="R51">
        <v>80</v>
      </c>
      <c r="S51">
        <v>5</v>
      </c>
    </row>
    <row r="52" spans="1:19">
      <c r="A52" t="str">
        <v>かおりの</v>
      </c>
      <c r="B52">
        <v>0</v>
      </c>
      <c r="C52">
        <v>420</v>
      </c>
      <c r="D52">
        <v>0</v>
      </c>
      <c r="F52" t="str">
        <v>よつぼし</v>
      </c>
      <c r="G52">
        <v>6100</v>
      </c>
      <c r="H52">
        <v>0</v>
      </c>
      <c r="I52">
        <v>0</v>
      </c>
      <c r="K52" t="str">
        <v>やよいひめ</v>
      </c>
      <c r="L52">
        <v>900</v>
      </c>
      <c r="M52">
        <v>780</v>
      </c>
      <c r="N52">
        <v>6</v>
      </c>
      <c r="P52" t="str">
        <v>紅ほっぺ（無）</v>
      </c>
      <c r="Q52">
        <v>1240</v>
      </c>
      <c r="R52">
        <v>420</v>
      </c>
      <c r="S52">
        <v>8</v>
      </c>
    </row>
    <row r="53" spans="1:19">
      <c r="A53" t="str">
        <v>かおりの</v>
      </c>
      <c r="B53">
        <v>740</v>
      </c>
      <c r="C53">
        <v>0</v>
      </c>
      <c r="D53">
        <v>1</v>
      </c>
      <c r="F53" t="str">
        <v>よつぼし</v>
      </c>
      <c r="G53">
        <v>60</v>
      </c>
      <c r="H53">
        <v>0</v>
      </c>
      <c r="I53">
        <v>0</v>
      </c>
      <c r="K53" t="str">
        <v>やよいひめ</v>
      </c>
      <c r="L53">
        <v>910</v>
      </c>
      <c r="M53">
        <v>70</v>
      </c>
      <c r="N53">
        <v>7</v>
      </c>
      <c r="P53" t="str">
        <v>紅ほっぺ（無）</v>
      </c>
      <c r="Q53">
        <v>1840</v>
      </c>
      <c r="R53">
        <v>0</v>
      </c>
      <c r="S53">
        <v>17</v>
      </c>
    </row>
    <row r="54" spans="1:19">
      <c r="A54" t="str">
        <v>かおりの</v>
      </c>
      <c r="B54">
        <v>80</v>
      </c>
      <c r="C54">
        <v>0</v>
      </c>
      <c r="D54">
        <v>0</v>
      </c>
      <c r="F54" t="str">
        <v>よつぼし</v>
      </c>
      <c r="G54">
        <v>1420</v>
      </c>
      <c r="H54">
        <v>0</v>
      </c>
      <c r="I54">
        <v>2</v>
      </c>
      <c r="K54" t="str">
        <v>やよいひめ</v>
      </c>
      <c r="L54">
        <v>600</v>
      </c>
      <c r="M54">
        <v>0</v>
      </c>
      <c r="N54">
        <v>4</v>
      </c>
      <c r="P54" t="str">
        <v>紅ほっぺ（無）</v>
      </c>
      <c r="Q54">
        <v>2840</v>
      </c>
      <c r="R54">
        <v>1020</v>
      </c>
      <c r="S54">
        <v>26</v>
      </c>
    </row>
    <row r="55" spans="1:19">
      <c r="K55" t="str">
        <v>やよいひめ</v>
      </c>
      <c r="L55">
        <v>200</v>
      </c>
      <c r="M55">
        <v>120</v>
      </c>
      <c r="N55">
        <v>2</v>
      </c>
      <c r="P55" t="str">
        <v>紅ほっぺ</v>
      </c>
      <c r="Q55">
        <v>1620</v>
      </c>
      <c r="R55">
        <v>450</v>
      </c>
      <c r="S55">
        <v>0</v>
      </c>
    </row>
    <row r="56" spans="1:19">
      <c r="K56" t="str">
        <v>やよいひめ</v>
      </c>
      <c r="L56">
        <v>340</v>
      </c>
      <c r="M56">
        <v>220</v>
      </c>
      <c r="N56">
        <v>3</v>
      </c>
      <c r="P56" t="str">
        <v>紅ほっぺ</v>
      </c>
      <c r="Q56">
        <v>880</v>
      </c>
      <c r="R56">
        <v>94</v>
      </c>
      <c r="S56">
        <v>7</v>
      </c>
    </row>
    <row r="57" spans="1:19">
      <c r="K57" t="str">
        <v>やよいひめ</v>
      </c>
      <c r="L57">
        <v>3100</v>
      </c>
      <c r="M57">
        <v>510</v>
      </c>
      <c r="N57">
        <v>31</v>
      </c>
      <c r="P57" t="str">
        <v>紅ほっぺ</v>
      </c>
      <c r="Q57">
        <v>1080</v>
      </c>
      <c r="R57">
        <v>430</v>
      </c>
      <c r="S57">
        <v>5</v>
      </c>
    </row>
    <row r="58" spans="1:19">
      <c r="K58" t="str">
        <v>やよいひめ</v>
      </c>
      <c r="L58">
        <v>1020</v>
      </c>
      <c r="M58">
        <v>0</v>
      </c>
      <c r="N58">
        <v>7</v>
      </c>
      <c r="P58" t="str">
        <v>紅ほっぺ</v>
      </c>
      <c r="Q58">
        <v>1480</v>
      </c>
      <c r="R58">
        <v>0</v>
      </c>
      <c r="S58">
        <v>12</v>
      </c>
    </row>
    <row r="59" spans="1:19">
      <c r="K59" t="str">
        <v>やよいひめ</v>
      </c>
      <c r="L59">
        <v>1760</v>
      </c>
      <c r="M59">
        <v>620</v>
      </c>
      <c r="N59">
        <v>15</v>
      </c>
      <c r="P59" t="str">
        <v>紅ほっぺ（無）</v>
      </c>
      <c r="Q59">
        <v>810</v>
      </c>
      <c r="R59">
        <v>660</v>
      </c>
      <c r="S59">
        <v>6</v>
      </c>
    </row>
    <row r="60" spans="1:19">
      <c r="K60" t="str">
        <v>やよいひめ</v>
      </c>
      <c r="L60">
        <v>2960</v>
      </c>
      <c r="M60">
        <v>360</v>
      </c>
      <c r="N60">
        <v>26</v>
      </c>
      <c r="P60" t="str">
        <v>紅ほっぺ</v>
      </c>
      <c r="Q60">
        <v>600</v>
      </c>
      <c r="R60">
        <v>90</v>
      </c>
      <c r="S60">
        <v>5</v>
      </c>
    </row>
    <row r="61" spans="1:19">
      <c r="K61" t="str">
        <v>やよいひめ</v>
      </c>
      <c r="L61">
        <v>4170</v>
      </c>
      <c r="M61">
        <v>1400</v>
      </c>
      <c r="N61">
        <v>40</v>
      </c>
      <c r="P61" t="str">
        <v>紅ほっぺ</v>
      </c>
      <c r="Q61">
        <v>2500</v>
      </c>
      <c r="R61">
        <v>760</v>
      </c>
      <c r="S61">
        <v>16</v>
      </c>
    </row>
    <row r="62" spans="1:19">
      <c r="K62" t="str">
        <v>やよいひめ</v>
      </c>
      <c r="L62">
        <v>100</v>
      </c>
      <c r="M62">
        <v>200</v>
      </c>
      <c r="N62">
        <v>1</v>
      </c>
      <c r="P62" t="str">
        <v>紅ほっぺ</v>
      </c>
      <c r="Q62">
        <v>820</v>
      </c>
      <c r="R62">
        <v>747</v>
      </c>
      <c r="S62">
        <v>8</v>
      </c>
    </row>
    <row r="63" spans="1:19">
      <c r="K63" t="str">
        <v>やよいひめ</v>
      </c>
      <c r="L63">
        <v>220</v>
      </c>
      <c r="M63">
        <v>1120</v>
      </c>
      <c r="N63">
        <v>2</v>
      </c>
      <c r="P63" t="str">
        <v>紅ほっぺ</v>
      </c>
      <c r="Q63">
        <v>0</v>
      </c>
      <c r="R63">
        <v>0</v>
      </c>
      <c r="S63">
        <v>0</v>
      </c>
    </row>
    <row r="64" spans="1:19">
      <c r="K64" t="str">
        <v>やよいひめ</v>
      </c>
      <c r="L64">
        <v>1010</v>
      </c>
      <c r="M64">
        <v>450</v>
      </c>
      <c r="N64">
        <v>7</v>
      </c>
      <c r="P64" t="str">
        <v>紅ほっぺ（無）</v>
      </c>
      <c r="Q64">
        <v>480</v>
      </c>
      <c r="R64">
        <v>100</v>
      </c>
      <c r="S64">
        <v>3</v>
      </c>
    </row>
    <row r="65" spans="11:19">
      <c r="K65" t="str">
        <v>やよいひめ</v>
      </c>
      <c r="L65">
        <v>680</v>
      </c>
      <c r="M65">
        <v>0</v>
      </c>
      <c r="N65">
        <v>5</v>
      </c>
      <c r="P65" t="str">
        <v>紅ほっぺ（無）</v>
      </c>
      <c r="Q65">
        <v>460</v>
      </c>
      <c r="R65">
        <v>440</v>
      </c>
      <c r="S65">
        <v>4</v>
      </c>
    </row>
    <row r="66" spans="11:19">
      <c r="K66" t="str">
        <v>やよいひめ</v>
      </c>
      <c r="L66">
        <v>0</v>
      </c>
      <c r="M66">
        <v>800</v>
      </c>
      <c r="N66">
        <v>0</v>
      </c>
      <c r="P66" t="str">
        <v>紅ほっぺ（無）</v>
      </c>
      <c r="Q66">
        <v>1800</v>
      </c>
      <c r="R66">
        <v>0</v>
      </c>
      <c r="S66">
        <v>8</v>
      </c>
    </row>
    <row r="67" spans="11:19">
      <c r="K67" t="str">
        <v>やよいひめ</v>
      </c>
      <c r="L67">
        <v>370</v>
      </c>
      <c r="M67">
        <v>130</v>
      </c>
      <c r="N67">
        <v>3</v>
      </c>
      <c r="P67" t="str">
        <v>紅ほっぺ（無）</v>
      </c>
      <c r="Q67">
        <v>2740</v>
      </c>
      <c r="R67">
        <v>470</v>
      </c>
      <c r="S67">
        <v>22</v>
      </c>
    </row>
    <row r="68" spans="11:19">
      <c r="K68" t="str">
        <v>やよいひめ</v>
      </c>
      <c r="L68">
        <v>110</v>
      </c>
      <c r="M68">
        <v>330</v>
      </c>
      <c r="N68">
        <v>1</v>
      </c>
      <c r="P68" t="str">
        <v>紅ほっぺ</v>
      </c>
      <c r="Q68">
        <v>740</v>
      </c>
      <c r="R68">
        <v>300</v>
      </c>
      <c r="S68">
        <v>4</v>
      </c>
    </row>
    <row r="69" spans="11:19">
      <c r="K69" t="str">
        <v>やよいひめ</v>
      </c>
      <c r="L69">
        <v>850</v>
      </c>
      <c r="M69">
        <v>0</v>
      </c>
      <c r="N69">
        <v>6</v>
      </c>
      <c r="P69" t="str">
        <v>紅ほっぺ（無）</v>
      </c>
      <c r="Q69">
        <v>2160</v>
      </c>
      <c r="R69">
        <v>500</v>
      </c>
      <c r="S69">
        <v>15</v>
      </c>
    </row>
    <row r="70" spans="11:19">
      <c r="K70" t="str">
        <v>やよいひめ</v>
      </c>
      <c r="L70">
        <v>0</v>
      </c>
      <c r="M70">
        <v>540</v>
      </c>
      <c r="N70">
        <v>0</v>
      </c>
      <c r="P70" t="str">
        <v>紅ほっぺ</v>
      </c>
      <c r="Q70">
        <v>300</v>
      </c>
      <c r="R70">
        <v>240</v>
      </c>
      <c r="S70">
        <v>3</v>
      </c>
    </row>
    <row r="71" spans="11:19">
      <c r="K71" t="str">
        <v>やよいひめ</v>
      </c>
      <c r="L71">
        <v>1900</v>
      </c>
      <c r="M71">
        <v>2800</v>
      </c>
      <c r="N71">
        <v>13</v>
      </c>
      <c r="P71" t="str">
        <v>紅ほっぺ</v>
      </c>
      <c r="Q71">
        <v>160</v>
      </c>
      <c r="R71">
        <v>380</v>
      </c>
      <c r="S71">
        <v>1</v>
      </c>
    </row>
    <row r="72" spans="11:19">
      <c r="K72" t="str">
        <v>やよいひめ</v>
      </c>
      <c r="L72">
        <v>480</v>
      </c>
      <c r="M72">
        <v>0</v>
      </c>
      <c r="N72">
        <v>4</v>
      </c>
      <c r="P72" t="str">
        <v>紅ほっぺ</v>
      </c>
      <c r="Q72">
        <v>780</v>
      </c>
      <c r="R72">
        <v>260</v>
      </c>
      <c r="S72">
        <v>7</v>
      </c>
    </row>
    <row r="73" spans="11:19">
      <c r="K73" t="str">
        <v>やよいひめ</v>
      </c>
      <c r="L73">
        <v>3800</v>
      </c>
      <c r="M73">
        <v>0</v>
      </c>
      <c r="N73">
        <v>8</v>
      </c>
      <c r="P73" t="str">
        <v>紅ほっぺ（無）</v>
      </c>
      <c r="Q73">
        <v>330</v>
      </c>
      <c r="R73">
        <v>190</v>
      </c>
      <c r="S73">
        <v>3</v>
      </c>
    </row>
    <row r="74" spans="11:19">
      <c r="K74" t="str">
        <v>やよいひめ</v>
      </c>
      <c r="L74">
        <v>730</v>
      </c>
      <c r="M74">
        <v>0</v>
      </c>
      <c r="N74">
        <v>1</v>
      </c>
      <c r="P74" t="str">
        <v>紅ほっぺ</v>
      </c>
      <c r="Q74">
        <v>730</v>
      </c>
      <c r="R74">
        <v>390</v>
      </c>
      <c r="S74">
        <v>5</v>
      </c>
    </row>
    <row r="75" spans="11:19">
      <c r="K75" t="str">
        <v>やよいひめ</v>
      </c>
      <c r="L75">
        <v>80</v>
      </c>
      <c r="M75">
        <v>0</v>
      </c>
      <c r="N75">
        <v>0</v>
      </c>
      <c r="P75" t="str">
        <v>紅ほっぺ</v>
      </c>
      <c r="Q75">
        <v>1960</v>
      </c>
      <c r="R75">
        <v>880</v>
      </c>
      <c r="S75">
        <v>18</v>
      </c>
    </row>
    <row r="76" spans="11:19">
      <c r="P76" t="str">
        <v>紅ほっぺ</v>
      </c>
      <c r="Q76">
        <v>114</v>
      </c>
      <c r="R76">
        <v>366</v>
      </c>
      <c r="S76">
        <v>1</v>
      </c>
    </row>
    <row r="77" spans="11:19">
      <c r="P77" t="str">
        <v>紅ほっぺ</v>
      </c>
      <c r="Q77">
        <v>500</v>
      </c>
      <c r="R77">
        <v>320</v>
      </c>
      <c r="S77">
        <v>0</v>
      </c>
    </row>
    <row r="78" spans="11:19">
      <c r="P78" t="str">
        <v>紅ほっぺ（無）</v>
      </c>
      <c r="Q78">
        <v>420</v>
      </c>
      <c r="R78">
        <v>260</v>
      </c>
      <c r="S78">
        <v>4</v>
      </c>
    </row>
    <row r="79" spans="11:19">
      <c r="P79" t="str">
        <v>紅ほっぺ（無）</v>
      </c>
      <c r="Q79">
        <v>0</v>
      </c>
      <c r="R79">
        <v>0</v>
      </c>
      <c r="S79">
        <v>0</v>
      </c>
    </row>
    <row r="80" spans="11:19">
      <c r="P80" t="str">
        <v>紅ほっぺ（無）</v>
      </c>
      <c r="Q80">
        <v>2300</v>
      </c>
      <c r="R80">
        <v>2707</v>
      </c>
      <c r="S80">
        <v>23</v>
      </c>
    </row>
    <row r="81" spans="16:19">
      <c r="P81" t="str">
        <v>紅ほっぺ（無）</v>
      </c>
      <c r="Q81">
        <v>1468</v>
      </c>
      <c r="R81">
        <v>332</v>
      </c>
      <c r="S81">
        <v>12</v>
      </c>
    </row>
    <row r="82" spans="16:19">
      <c r="P82" t="str">
        <v>紅ほっぺ</v>
      </c>
      <c r="Q82">
        <v>0</v>
      </c>
      <c r="R82">
        <v>0</v>
      </c>
      <c r="S82">
        <v>0</v>
      </c>
    </row>
    <row r="83" spans="16:19">
      <c r="P83" t="str">
        <v>紅ほっぺ（無）</v>
      </c>
      <c r="Q83">
        <v>3480</v>
      </c>
      <c r="R83">
        <v>460</v>
      </c>
      <c r="S83">
        <v>32</v>
      </c>
    </row>
    <row r="84" spans="16:19">
      <c r="P84" t="str">
        <v>紅ほっぺ</v>
      </c>
      <c r="Q84">
        <v>320</v>
      </c>
      <c r="R84">
        <v>180</v>
      </c>
      <c r="S84">
        <v>3</v>
      </c>
    </row>
    <row r="85" spans="16:19">
      <c r="P85" t="str">
        <v>紅ほっぺ</v>
      </c>
      <c r="Q85">
        <v>220</v>
      </c>
      <c r="R85">
        <v>180</v>
      </c>
      <c r="S85">
        <v>2</v>
      </c>
    </row>
    <row r="86" spans="16:19">
      <c r="P86" t="str">
        <v>紅ほっぺ</v>
      </c>
      <c r="Q86">
        <v>520</v>
      </c>
      <c r="R86">
        <v>120</v>
      </c>
      <c r="S86">
        <v>5</v>
      </c>
    </row>
    <row r="87" spans="16:19">
      <c r="P87" t="str">
        <v>紅ほっぺ（無）</v>
      </c>
      <c r="Q87">
        <v>850</v>
      </c>
      <c r="R87">
        <v>230</v>
      </c>
      <c r="S87">
        <v>4</v>
      </c>
    </row>
    <row r="88" spans="16:19">
      <c r="P88" t="str">
        <v>紅ほっぺ</v>
      </c>
      <c r="Q88">
        <v>510</v>
      </c>
      <c r="R88">
        <v>90</v>
      </c>
      <c r="S88">
        <v>5</v>
      </c>
    </row>
    <row r="89" spans="16:19">
      <c r="P89" t="str">
        <v>紅ほっぺ</v>
      </c>
      <c r="Q89">
        <v>2440</v>
      </c>
      <c r="R89">
        <v>340</v>
      </c>
      <c r="S89">
        <v>16</v>
      </c>
    </row>
    <row r="90" spans="16:19">
      <c r="P90" t="str">
        <v>紅ほっぺ</v>
      </c>
      <c r="Q90">
        <v>550</v>
      </c>
      <c r="R90">
        <v>230</v>
      </c>
      <c r="S90">
        <v>5</v>
      </c>
    </row>
    <row r="91" spans="16:19">
      <c r="P91" t="str">
        <v>紅ほっぺ</v>
      </c>
      <c r="Q91">
        <v>0</v>
      </c>
      <c r="R91">
        <v>0</v>
      </c>
      <c r="S91">
        <v>0</v>
      </c>
    </row>
    <row r="92" spans="16:19">
      <c r="P92" t="str">
        <v>紅ほっぺ（無）</v>
      </c>
      <c r="Q92">
        <v>495</v>
      </c>
      <c r="R92">
        <v>125</v>
      </c>
      <c r="S92">
        <v>3</v>
      </c>
    </row>
    <row r="93" spans="16:19">
      <c r="P93" t="str">
        <v>紅ほっぺ（無）</v>
      </c>
      <c r="Q93">
        <v>240</v>
      </c>
      <c r="R93">
        <v>720</v>
      </c>
      <c r="S93">
        <v>2</v>
      </c>
    </row>
    <row r="94" spans="16:19">
      <c r="P94" t="str">
        <v>紅ほっぺ（無）</v>
      </c>
      <c r="Q94">
        <v>1240</v>
      </c>
      <c r="R94">
        <v>1532</v>
      </c>
      <c r="S94">
        <v>9</v>
      </c>
    </row>
    <row r="95" spans="16:19">
      <c r="P95" t="str">
        <v>紅ほっぺ（無）</v>
      </c>
      <c r="Q95">
        <v>1835</v>
      </c>
      <c r="R95">
        <v>745</v>
      </c>
      <c r="S95">
        <v>18</v>
      </c>
    </row>
    <row r="96" spans="16:19">
      <c r="P96" t="str">
        <v>紅ほっぺ</v>
      </c>
      <c r="Q96">
        <v>0</v>
      </c>
      <c r="R96">
        <v>119</v>
      </c>
      <c r="S96">
        <v>22</v>
      </c>
    </row>
    <row r="97" spans="16:19">
      <c r="P97" t="str">
        <v>紅ほっぺ（無）</v>
      </c>
      <c r="Q97">
        <v>2321</v>
      </c>
      <c r="R97">
        <v>121</v>
      </c>
      <c r="S97">
        <v>1</v>
      </c>
    </row>
    <row r="98" spans="16:19">
      <c r="P98" t="str">
        <v>紅ほっぺ</v>
      </c>
      <c r="Q98">
        <v>140</v>
      </c>
      <c r="R98">
        <v>300</v>
      </c>
      <c r="S98">
        <v>1</v>
      </c>
    </row>
    <row r="99" spans="16:19">
      <c r="P99" t="str">
        <v>紅ほっぺ</v>
      </c>
      <c r="Q99">
        <v>170</v>
      </c>
      <c r="R99">
        <v>135</v>
      </c>
      <c r="S99">
        <v>1</v>
      </c>
    </row>
    <row r="100" spans="16:19">
      <c r="P100" t="str">
        <v>紅ほっぺ</v>
      </c>
      <c r="Q100">
        <v>600</v>
      </c>
      <c r="R100">
        <v>439</v>
      </c>
      <c r="S100">
        <v>4</v>
      </c>
    </row>
    <row r="101" spans="16:19">
      <c r="P101" t="str">
        <v>紅ほっぺ（無）</v>
      </c>
      <c r="Q101">
        <v>210</v>
      </c>
      <c r="R101">
        <v>390</v>
      </c>
      <c r="S101">
        <v>1</v>
      </c>
    </row>
    <row r="102" spans="16:19">
      <c r="P102" t="str">
        <v>紅ほっぺ</v>
      </c>
      <c r="Q102">
        <v>110</v>
      </c>
      <c r="R102">
        <v>250</v>
      </c>
      <c r="S102">
        <v>1</v>
      </c>
    </row>
    <row r="103" spans="16:19">
      <c r="P103" t="str">
        <v>紅ほっぺ</v>
      </c>
      <c r="Q103">
        <v>1340</v>
      </c>
      <c r="R103">
        <v>740</v>
      </c>
      <c r="S103">
        <v>10</v>
      </c>
    </row>
    <row r="104" spans="16:19">
      <c r="P104" t="str">
        <v>紅ほっぺ</v>
      </c>
      <c r="Q104">
        <v>340</v>
      </c>
      <c r="R104">
        <v>320</v>
      </c>
      <c r="S104">
        <v>3</v>
      </c>
    </row>
    <row r="105" spans="16:19">
      <c r="P105" t="str">
        <v>紅ほっぺ</v>
      </c>
      <c r="Q105">
        <v>260</v>
      </c>
      <c r="R105">
        <v>530</v>
      </c>
      <c r="S105">
        <v>1</v>
      </c>
    </row>
    <row r="106" spans="16:19">
      <c r="P106" t="str">
        <v>紅ほっぺ（無）</v>
      </c>
      <c r="Q106">
        <v>140</v>
      </c>
      <c r="R106">
        <v>200</v>
      </c>
      <c r="S106">
        <v>1</v>
      </c>
    </row>
    <row r="107" spans="16:19">
      <c r="P107" t="str">
        <v>紅ほっぺ（無）</v>
      </c>
      <c r="Q107">
        <v>280</v>
      </c>
      <c r="R107">
        <v>160</v>
      </c>
      <c r="S107">
        <v>1</v>
      </c>
    </row>
    <row r="108" spans="16:19">
      <c r="P108" t="str">
        <v>紅ほっぺ（無）</v>
      </c>
      <c r="Q108">
        <v>1020</v>
      </c>
      <c r="R108">
        <v>1280</v>
      </c>
      <c r="S108">
        <v>7</v>
      </c>
    </row>
    <row r="109" spans="16:19">
      <c r="P109" t="str">
        <v>紅ほっぺ（無）</v>
      </c>
      <c r="Q109">
        <v>2280</v>
      </c>
      <c r="R109">
        <v>1135</v>
      </c>
      <c r="S109">
        <v>17</v>
      </c>
    </row>
    <row r="110" spans="16:19">
      <c r="P110" t="str">
        <v>紅ほっぺ</v>
      </c>
      <c r="Q110">
        <v>0</v>
      </c>
      <c r="R110">
        <v>0</v>
      </c>
      <c r="S110">
        <v>0</v>
      </c>
    </row>
    <row r="111" spans="16:19">
      <c r="P111" t="str">
        <v>紅ほっぺ（無）</v>
      </c>
      <c r="Q111">
        <v>1920</v>
      </c>
      <c r="R111">
        <v>1230</v>
      </c>
      <c r="S111">
        <v>13</v>
      </c>
    </row>
    <row r="112" spans="16:19">
      <c r="P112" t="str">
        <v>紅ほっぺ</v>
      </c>
      <c r="Q112">
        <v>240</v>
      </c>
      <c r="R112">
        <v>0</v>
      </c>
      <c r="S112">
        <v>0</v>
      </c>
    </row>
    <row r="113" spans="16:19">
      <c r="P113" t="str">
        <v>紅ほっぺ</v>
      </c>
      <c r="Q113">
        <v>0</v>
      </c>
      <c r="R113">
        <v>0</v>
      </c>
      <c r="S113">
        <v>0</v>
      </c>
    </row>
    <row r="114" spans="16:19">
      <c r="P114" t="str">
        <v>紅ほっぺ</v>
      </c>
      <c r="Q114">
        <v>740</v>
      </c>
      <c r="R114">
        <v>500</v>
      </c>
      <c r="S114">
        <v>7</v>
      </c>
    </row>
    <row r="115" spans="16:19">
      <c r="P115" t="str">
        <v>紅ほっぺ（無）</v>
      </c>
      <c r="Q115">
        <v>45</v>
      </c>
      <c r="R115">
        <v>426</v>
      </c>
      <c r="S115">
        <v>1</v>
      </c>
    </row>
    <row r="116" spans="16:19">
      <c r="P116" t="str">
        <v>紅ほっぺ</v>
      </c>
      <c r="Q116">
        <v>100</v>
      </c>
      <c r="R116">
        <v>320</v>
      </c>
      <c r="S116">
        <v>1</v>
      </c>
    </row>
    <row r="117" spans="16:19">
      <c r="P117" t="str">
        <v>紅ほっぺ</v>
      </c>
      <c r="Q117">
        <v>430</v>
      </c>
      <c r="R117">
        <v>830</v>
      </c>
      <c r="S117">
        <v>0</v>
      </c>
    </row>
    <row r="118" spans="16:19">
      <c r="P118" t="str">
        <v>紅ほっぺ</v>
      </c>
      <c r="Q118">
        <v>300</v>
      </c>
      <c r="R118">
        <v>180</v>
      </c>
      <c r="S118">
        <v>2</v>
      </c>
    </row>
    <row r="119" spans="16:19">
      <c r="P119" t="str">
        <v>紅ほっぺ</v>
      </c>
      <c r="Q119">
        <v>0</v>
      </c>
      <c r="R119">
        <v>0</v>
      </c>
      <c r="S119">
        <v>0</v>
      </c>
    </row>
    <row r="120" spans="16:19">
      <c r="P120" t="str">
        <v>紅ほっぺ（無）</v>
      </c>
      <c r="Q120">
        <v>167</v>
      </c>
      <c r="R120">
        <v>366</v>
      </c>
      <c r="S120">
        <v>1</v>
      </c>
    </row>
    <row r="121" spans="16:19">
      <c r="P121" t="str">
        <v>紅ほっぺ（無）</v>
      </c>
      <c r="Q121">
        <v>0</v>
      </c>
      <c r="R121">
        <v>0</v>
      </c>
      <c r="S121">
        <v>0</v>
      </c>
    </row>
    <row r="122" spans="16:19">
      <c r="P122" t="str">
        <v>紅ほっぺ（無）</v>
      </c>
      <c r="Q122">
        <v>280</v>
      </c>
      <c r="R122">
        <v>1610</v>
      </c>
      <c r="S122">
        <v>0</v>
      </c>
    </row>
    <row r="123" spans="16:19">
      <c r="P123" t="str">
        <v>紅ほっぺ（無）</v>
      </c>
      <c r="Q123">
        <v>5460</v>
      </c>
      <c r="R123">
        <v>500</v>
      </c>
      <c r="S123">
        <v>20</v>
      </c>
    </row>
    <row r="124" spans="16:19">
      <c r="P124" t="str">
        <v>紅ほっぺ</v>
      </c>
      <c r="Q124">
        <v>0</v>
      </c>
      <c r="R124">
        <v>0</v>
      </c>
      <c r="S124">
        <v>0</v>
      </c>
    </row>
    <row r="125" spans="16:19">
      <c r="P125" t="str">
        <v>紅ほっぺ（無）</v>
      </c>
      <c r="Q125">
        <v>0</v>
      </c>
      <c r="R125">
        <v>0</v>
      </c>
      <c r="S125">
        <v>0</v>
      </c>
    </row>
    <row r="126" spans="16:19">
      <c r="P126" t="str">
        <v>紅ほっぺ</v>
      </c>
      <c r="Q126">
        <v>0</v>
      </c>
      <c r="R126">
        <v>360</v>
      </c>
      <c r="S126">
        <v>0</v>
      </c>
    </row>
    <row r="127" spans="16:19">
      <c r="P127" t="str">
        <v>紅ほっぺ</v>
      </c>
      <c r="Q127">
        <v>0</v>
      </c>
      <c r="R127">
        <v>0</v>
      </c>
      <c r="S127">
        <v>0</v>
      </c>
    </row>
    <row r="128" spans="16:19">
      <c r="P128" t="str">
        <v>紅ほっぺ</v>
      </c>
      <c r="Q128">
        <v>480</v>
      </c>
      <c r="R128">
        <v>620</v>
      </c>
      <c r="S128">
        <v>4</v>
      </c>
    </row>
    <row r="129" spans="16:19">
      <c r="P129" t="str">
        <v>紅ほっぺ（無）</v>
      </c>
      <c r="Q129">
        <v>0</v>
      </c>
      <c r="R129">
        <v>843</v>
      </c>
      <c r="S129">
        <v>0</v>
      </c>
    </row>
    <row r="130" spans="16:19">
      <c r="P130" t="str">
        <v>紅ほっぺ</v>
      </c>
      <c r="Q130">
        <v>30</v>
      </c>
      <c r="R130">
        <v>260</v>
      </c>
      <c r="S130">
        <v>0</v>
      </c>
    </row>
    <row r="131" spans="16:19">
      <c r="P131" t="str">
        <v>紅ほっぺ</v>
      </c>
      <c r="Q131">
        <v>0</v>
      </c>
      <c r="R131">
        <v>0</v>
      </c>
      <c r="S131">
        <v>0</v>
      </c>
    </row>
    <row r="132" spans="16:19">
      <c r="P132" t="str">
        <v>紅ほっぺ</v>
      </c>
      <c r="Q132">
        <v>540</v>
      </c>
      <c r="R132">
        <v>480</v>
      </c>
      <c r="S132">
        <v>3</v>
      </c>
    </row>
    <row r="133" spans="16:19">
      <c r="P133" t="str">
        <v>紅ほっぺ</v>
      </c>
      <c r="Q133">
        <v>0</v>
      </c>
      <c r="R133">
        <v>660</v>
      </c>
      <c r="S133">
        <v>0</v>
      </c>
    </row>
    <row r="134" spans="16:19">
      <c r="P134" t="str">
        <v>紅ほっぺ（無）</v>
      </c>
      <c r="Q134">
        <v>0</v>
      </c>
      <c r="R134">
        <v>550</v>
      </c>
      <c r="S134">
        <v>0</v>
      </c>
    </row>
    <row r="135" spans="16:19">
      <c r="P135" t="str">
        <v>紅ほっぺ（無）</v>
      </c>
      <c r="Q135">
        <v>0</v>
      </c>
      <c r="R135">
        <v>0</v>
      </c>
      <c r="S135">
        <v>0</v>
      </c>
    </row>
    <row r="136" spans="16:19">
      <c r="P136" t="str">
        <v>紅ほっぺ（無）</v>
      </c>
      <c r="Q136">
        <v>1600</v>
      </c>
      <c r="R136">
        <v>1100</v>
      </c>
      <c r="S136">
        <v>5</v>
      </c>
    </row>
    <row r="137" spans="16:19">
      <c r="P137" t="str">
        <v>紅ほっぺ（無）</v>
      </c>
      <c r="Q137">
        <v>580</v>
      </c>
      <c r="R137">
        <v>1480</v>
      </c>
      <c r="S137">
        <v>10</v>
      </c>
    </row>
    <row r="138" spans="16:19">
      <c r="P138" t="str">
        <v>紅ほっぺ</v>
      </c>
      <c r="Q138">
        <v>0</v>
      </c>
      <c r="R138">
        <v>0</v>
      </c>
      <c r="S138">
        <v>0</v>
      </c>
    </row>
    <row r="139" spans="16:19">
      <c r="P139" t="str">
        <v>紅ほっぺ（無）</v>
      </c>
      <c r="Q139">
        <v>4620</v>
      </c>
      <c r="R139">
        <v>0</v>
      </c>
      <c r="S139">
        <v>30</v>
      </c>
    </row>
    <row r="140" spans="16:19">
      <c r="P140" t="str">
        <v>紅ほっぺ</v>
      </c>
      <c r="Q140">
        <v>466</v>
      </c>
      <c r="R140">
        <v>1474</v>
      </c>
      <c r="S140">
        <v>3</v>
      </c>
    </row>
    <row r="141" spans="16:19">
      <c r="P141" t="str">
        <v>紅ほっぺ</v>
      </c>
      <c r="Q141">
        <v>180</v>
      </c>
      <c r="R141">
        <v>80</v>
      </c>
      <c r="S141">
        <v>1</v>
      </c>
    </row>
    <row r="142" spans="16:19">
      <c r="P142" t="str">
        <v>無</v>
      </c>
      <c r="Q142">
        <v>0</v>
      </c>
      <c r="R142">
        <v>634</v>
      </c>
      <c r="S142">
        <v>0</v>
      </c>
    </row>
    <row r="143" spans="16:19">
      <c r="P143" t="str">
        <v>紅ほっぺ</v>
      </c>
      <c r="Q143">
        <v>0</v>
      </c>
      <c r="R143">
        <v>40</v>
      </c>
      <c r="S143">
        <v>0</v>
      </c>
    </row>
    <row r="144" spans="16:19">
      <c r="P144" t="str">
        <v>紅ほっぺ</v>
      </c>
      <c r="Q144">
        <v>76</v>
      </c>
      <c r="R144">
        <v>104</v>
      </c>
      <c r="S144">
        <v>0</v>
      </c>
    </row>
    <row r="145" spans="16:19">
      <c r="P145" t="str">
        <v>無</v>
      </c>
      <c r="Q145">
        <v>0</v>
      </c>
      <c r="R145">
        <v>180</v>
      </c>
      <c r="S145">
        <v>0</v>
      </c>
    </row>
    <row r="146" spans="16:19">
      <c r="P146" t="str">
        <v>無</v>
      </c>
      <c r="Q146">
        <v>0</v>
      </c>
      <c r="R146">
        <v>240</v>
      </c>
      <c r="S146">
        <v>0</v>
      </c>
    </row>
    <row r="147" spans="16:19">
      <c r="P147" t="str">
        <v>無</v>
      </c>
      <c r="Q147">
        <v>0</v>
      </c>
      <c r="R147">
        <v>630</v>
      </c>
      <c r="S147">
        <v>0</v>
      </c>
    </row>
    <row r="148" spans="16:19">
      <c r="P148" t="str">
        <v>無</v>
      </c>
      <c r="Q148">
        <v>400</v>
      </c>
      <c r="R148">
        <v>1240</v>
      </c>
      <c r="S148">
        <v>3</v>
      </c>
    </row>
    <row r="149" spans="16:19">
      <c r="P149" t="str">
        <v>無</v>
      </c>
      <c r="Q149">
        <v>2420</v>
      </c>
      <c r="R149">
        <v>4140</v>
      </c>
      <c r="S149">
        <v>17</v>
      </c>
    </row>
    <row r="150" spans="16:19">
      <c r="P150" t="str">
        <v>紅ほっぺ</v>
      </c>
      <c r="Q150">
        <v>0</v>
      </c>
      <c r="R150">
        <v>40</v>
      </c>
      <c r="S150">
        <v>0</v>
      </c>
    </row>
    <row r="151" spans="16:19">
      <c r="P151" t="str">
        <v>紅ほっぺ</v>
      </c>
      <c r="Q151">
        <v>0</v>
      </c>
      <c r="R151">
        <v>240</v>
      </c>
      <c r="S151">
        <v>0</v>
      </c>
    </row>
    <row r="152" spans="16:19">
      <c r="P152" t="str">
        <v>無</v>
      </c>
      <c r="Q152">
        <v>0</v>
      </c>
      <c r="R152">
        <v>165</v>
      </c>
      <c r="S152">
        <v>0</v>
      </c>
    </row>
    <row r="153" spans="16:19">
      <c r="P153" t="str">
        <v>無</v>
      </c>
      <c r="Q153">
        <v>270</v>
      </c>
      <c r="R153">
        <v>510</v>
      </c>
      <c r="S153">
        <v>2</v>
      </c>
    </row>
    <row r="154" spans="16:19">
      <c r="P154" t="str">
        <v>無</v>
      </c>
      <c r="Q154">
        <v>1700</v>
      </c>
      <c r="R154">
        <v>2540</v>
      </c>
      <c r="S154">
        <v>15</v>
      </c>
    </row>
    <row r="155" spans="16:19">
      <c r="P155" t="str">
        <v>無</v>
      </c>
      <c r="Q155">
        <v>0</v>
      </c>
      <c r="R155">
        <v>120</v>
      </c>
      <c r="S155">
        <v>0</v>
      </c>
    </row>
    <row r="156" spans="16:19">
      <c r="P156" t="str">
        <v>紅ほっぺ</v>
      </c>
      <c r="Q156">
        <v>0</v>
      </c>
      <c r="R156">
        <v>120</v>
      </c>
      <c r="S156">
        <v>0</v>
      </c>
    </row>
    <row r="157" spans="16:19">
      <c r="P157" t="str">
        <v>無</v>
      </c>
      <c r="Q157">
        <v>230</v>
      </c>
      <c r="R157">
        <v>620</v>
      </c>
      <c r="S157">
        <v>2</v>
      </c>
    </row>
    <row r="158" spans="16:19">
      <c r="P158" t="str">
        <v>無</v>
      </c>
      <c r="Q158">
        <v>980</v>
      </c>
      <c r="R158">
        <v>3180</v>
      </c>
      <c r="S158">
        <v>9</v>
      </c>
    </row>
    <row r="159" spans="16:19">
      <c r="P159" t="str">
        <v>紅ほっぺ</v>
      </c>
      <c r="Q159">
        <v>0</v>
      </c>
      <c r="R159">
        <v>260</v>
      </c>
      <c r="S159">
        <v>0</v>
      </c>
    </row>
    <row r="160" spans="16:19">
      <c r="P160" t="str">
        <v>無</v>
      </c>
      <c r="Q160">
        <v>20</v>
      </c>
      <c r="R160">
        <v>170</v>
      </c>
      <c r="S160">
        <v>0</v>
      </c>
    </row>
    <row r="161" spans="16:19">
      <c r="P161" t="str">
        <v>紅ほっぺ</v>
      </c>
      <c r="Q161">
        <v>0</v>
      </c>
      <c r="R161">
        <v>80</v>
      </c>
      <c r="S161">
        <v>0</v>
      </c>
    </row>
    <row r="162" spans="16:19">
      <c r="P162" t="str">
        <v>無</v>
      </c>
      <c r="Q162">
        <v>460</v>
      </c>
      <c r="R162">
        <v>240</v>
      </c>
      <c r="S162">
        <v>2</v>
      </c>
    </row>
    <row r="163" spans="16:19">
      <c r="P163" t="str">
        <v>無</v>
      </c>
      <c r="Q163">
        <v>530</v>
      </c>
      <c r="R163">
        <v>1110</v>
      </c>
      <c r="S163">
        <v>5</v>
      </c>
    </row>
    <row r="164" spans="16:19">
      <c r="P164" t="str">
        <v>紅ほっぺ</v>
      </c>
      <c r="Q164">
        <v>100</v>
      </c>
      <c r="R164">
        <v>160</v>
      </c>
      <c r="S164">
        <v>1</v>
      </c>
    </row>
    <row r="165" spans="16:19">
      <c r="P165" t="str">
        <v>無</v>
      </c>
      <c r="Q165">
        <v>590</v>
      </c>
      <c r="R165">
        <v>430</v>
      </c>
      <c r="S165">
        <v>4</v>
      </c>
    </row>
    <row r="166" spans="16:19">
      <c r="P166" t="str">
        <v>紅ほっぺ</v>
      </c>
      <c r="Q166">
        <v>110</v>
      </c>
      <c r="R166">
        <v>170</v>
      </c>
      <c r="S166">
        <v>1</v>
      </c>
    </row>
    <row r="167" spans="16:19">
      <c r="P167" t="str">
        <v>無</v>
      </c>
      <c r="Q167">
        <v>130</v>
      </c>
      <c r="R167">
        <v>170</v>
      </c>
      <c r="S167">
        <v>1</v>
      </c>
    </row>
    <row r="168" spans="16:19">
      <c r="P168" t="str">
        <v>紅ほっぺ</v>
      </c>
      <c r="Q168">
        <v>100</v>
      </c>
      <c r="R168">
        <v>40</v>
      </c>
      <c r="S168">
        <v>1</v>
      </c>
    </row>
    <row r="169" spans="16:19">
      <c r="P169" t="str">
        <v>紅ほっぺ</v>
      </c>
      <c r="Q169">
        <v>340</v>
      </c>
      <c r="R169">
        <v>320</v>
      </c>
      <c r="S169">
        <v>3</v>
      </c>
    </row>
    <row r="170" spans="16:19">
      <c r="P170" t="str">
        <v>紅ほっぺ</v>
      </c>
      <c r="Q170">
        <v>0</v>
      </c>
      <c r="R170">
        <v>260</v>
      </c>
      <c r="S170">
        <v>0</v>
      </c>
    </row>
    <row r="171" spans="16:19">
      <c r="P171" t="str">
        <v>無</v>
      </c>
      <c r="Q171">
        <v>420</v>
      </c>
      <c r="R171">
        <v>1820</v>
      </c>
      <c r="S171">
        <v>4</v>
      </c>
    </row>
    <row r="172" spans="16:19">
      <c r="P172" t="str">
        <v>紅ほっぺ</v>
      </c>
      <c r="Q172">
        <v>0</v>
      </c>
      <c r="R172">
        <v>630</v>
      </c>
      <c r="S172">
        <v>0</v>
      </c>
    </row>
    <row r="173" spans="16:19">
      <c r="P173" t="str">
        <v>紅ほっぺ</v>
      </c>
      <c r="Q173">
        <v>310</v>
      </c>
      <c r="R173">
        <v>190</v>
      </c>
      <c r="S173">
        <v>4</v>
      </c>
    </row>
    <row r="174" spans="16:19">
      <c r="P174" t="str">
        <v>無</v>
      </c>
      <c r="Q174">
        <v>450</v>
      </c>
      <c r="R174">
        <v>260</v>
      </c>
      <c r="S174">
        <v>4</v>
      </c>
    </row>
    <row r="175" spans="16:19">
      <c r="P175" t="str">
        <v>紅ほっぺ</v>
      </c>
      <c r="Q175">
        <v>180</v>
      </c>
      <c r="R175">
        <v>100</v>
      </c>
      <c r="S175">
        <v>2</v>
      </c>
    </row>
    <row r="176" spans="16:19">
      <c r="P176" t="str">
        <v>紅ほっぺ</v>
      </c>
      <c r="Q176">
        <v>320</v>
      </c>
      <c r="R176">
        <v>540</v>
      </c>
      <c r="S176">
        <v>15</v>
      </c>
    </row>
    <row r="177" spans="16:19">
      <c r="P177" t="str">
        <v>紅ほっぺ</v>
      </c>
      <c r="Q177">
        <v>80</v>
      </c>
      <c r="R177">
        <v>240</v>
      </c>
      <c r="S177">
        <v>0</v>
      </c>
    </row>
    <row r="178" spans="16:19">
      <c r="P178" t="str">
        <v>無</v>
      </c>
      <c r="Q178">
        <v>200</v>
      </c>
      <c r="R178">
        <v>0</v>
      </c>
      <c r="S178">
        <v>2</v>
      </c>
    </row>
    <row r="179" spans="16:19">
      <c r="P179" t="str">
        <v>無</v>
      </c>
      <c r="Q179">
        <v>240</v>
      </c>
      <c r="R179">
        <v>330</v>
      </c>
      <c r="S179">
        <v>2</v>
      </c>
    </row>
    <row r="180" spans="16:19">
      <c r="P180" t="str">
        <v>無</v>
      </c>
      <c r="Q180">
        <v>1150</v>
      </c>
      <c r="R180">
        <v>520</v>
      </c>
      <c r="S180">
        <v>10</v>
      </c>
    </row>
    <row r="181" spans="16:19">
      <c r="P181" t="str">
        <v>無</v>
      </c>
      <c r="Q181">
        <v>790</v>
      </c>
      <c r="R181">
        <v>1690</v>
      </c>
      <c r="S181">
        <v>8</v>
      </c>
    </row>
    <row r="182" spans="16:19">
      <c r="P182" t="str">
        <v>紅ほっぺ</v>
      </c>
      <c r="Q182">
        <v>0</v>
      </c>
      <c r="R182">
        <v>30</v>
      </c>
      <c r="S182">
        <v>0</v>
      </c>
    </row>
    <row r="183" spans="16:19">
      <c r="P183" t="str">
        <v>紅ほっぺ</v>
      </c>
      <c r="Q183">
        <v>780</v>
      </c>
      <c r="R183">
        <v>360</v>
      </c>
      <c r="S183">
        <v>5</v>
      </c>
    </row>
    <row r="184" spans="16:19">
      <c r="P184" t="str">
        <v>無</v>
      </c>
      <c r="Q184">
        <v>590</v>
      </c>
      <c r="R184">
        <v>260</v>
      </c>
      <c r="S184">
        <v>5</v>
      </c>
    </row>
    <row r="185" spans="16:19">
      <c r="P185" t="str">
        <v>紅ほっぺ</v>
      </c>
      <c r="Q185">
        <v>240</v>
      </c>
      <c r="R185">
        <v>280</v>
      </c>
      <c r="S185">
        <v>2</v>
      </c>
    </row>
    <row r="186" spans="16:19">
      <c r="P186" t="str">
        <v>紅ほっぺ</v>
      </c>
      <c r="Q186">
        <v>1210</v>
      </c>
      <c r="R186">
        <v>340</v>
      </c>
      <c r="S186">
        <v>12</v>
      </c>
    </row>
    <row r="187" spans="16:19">
      <c r="P187" t="str">
        <v>紅ほっぺ</v>
      </c>
      <c r="Q187">
        <v>0</v>
      </c>
      <c r="R187">
        <v>320</v>
      </c>
      <c r="S187">
        <v>0</v>
      </c>
    </row>
    <row r="188" spans="16:19">
      <c r="P188" t="str">
        <v>無</v>
      </c>
      <c r="Q188">
        <v>100</v>
      </c>
      <c r="R188">
        <v>60</v>
      </c>
      <c r="S188">
        <v>1</v>
      </c>
    </row>
    <row r="189" spans="16:19">
      <c r="P189" t="str">
        <v>無</v>
      </c>
      <c r="Q189">
        <v>1730</v>
      </c>
      <c r="R189">
        <v>700</v>
      </c>
      <c r="S189">
        <v>16</v>
      </c>
    </row>
    <row r="190" spans="16:19">
      <c r="P190" t="str">
        <v>無</v>
      </c>
      <c r="Q190">
        <v>0</v>
      </c>
      <c r="R190">
        <v>1660</v>
      </c>
      <c r="S190">
        <v>0</v>
      </c>
    </row>
    <row r="191" spans="16:19">
      <c r="P191" t="str">
        <v>紅ほっぺ</v>
      </c>
      <c r="Q191">
        <v>400</v>
      </c>
      <c r="R191">
        <v>500</v>
      </c>
      <c r="S191">
        <v>4</v>
      </c>
    </row>
    <row r="192" spans="16:19">
      <c r="P192" t="str">
        <v>紅ほっぺ</v>
      </c>
      <c r="Q192">
        <v>420</v>
      </c>
      <c r="R192">
        <v>200</v>
      </c>
      <c r="S192">
        <v>4</v>
      </c>
    </row>
    <row r="193" spans="16:19">
      <c r="P193" t="str">
        <v>無</v>
      </c>
      <c r="Q193">
        <v>500</v>
      </c>
      <c r="R193">
        <v>170</v>
      </c>
      <c r="S193">
        <v>5</v>
      </c>
    </row>
    <row r="194" spans="16:19">
      <c r="P194" t="str">
        <v>紅ほっぺ</v>
      </c>
      <c r="Q194">
        <v>140</v>
      </c>
      <c r="R194">
        <v>140</v>
      </c>
      <c r="S194">
        <v>1</v>
      </c>
    </row>
    <row r="195" spans="16:19">
      <c r="P195" t="str">
        <v>紅ほっぺ</v>
      </c>
      <c r="Q195">
        <v>610</v>
      </c>
      <c r="R195">
        <v>90</v>
      </c>
      <c r="S195">
        <v>6</v>
      </c>
    </row>
    <row r="196" spans="16:19">
      <c r="P196" t="str">
        <v>紅ほっぺ</v>
      </c>
      <c r="Q196">
        <v>90</v>
      </c>
      <c r="R196">
        <v>170</v>
      </c>
      <c r="S196">
        <v>0</v>
      </c>
    </row>
    <row r="197" spans="16:19">
      <c r="P197" t="str">
        <v>無</v>
      </c>
      <c r="Q197">
        <v>1600</v>
      </c>
      <c r="R197">
        <v>860</v>
      </c>
      <c r="S197">
        <v>15</v>
      </c>
    </row>
    <row r="198" spans="16:19">
      <c r="P198" t="str">
        <v>無</v>
      </c>
      <c r="Q198">
        <v>880</v>
      </c>
      <c r="R198">
        <v>670</v>
      </c>
      <c r="S198">
        <v>8</v>
      </c>
    </row>
    <row r="199" spans="16:19">
      <c r="P199" t="str">
        <v>無</v>
      </c>
      <c r="Q199">
        <v>100</v>
      </c>
      <c r="R199">
        <v>400</v>
      </c>
      <c r="S199">
        <v>1</v>
      </c>
    </row>
    <row r="200" spans="16:19">
      <c r="P200" t="str">
        <v>紅ほっぺ</v>
      </c>
      <c r="Q200">
        <v>160</v>
      </c>
      <c r="R200">
        <v>260</v>
      </c>
      <c r="S200">
        <v>1</v>
      </c>
    </row>
    <row r="201" spans="16:19">
      <c r="P201" t="str">
        <v>無</v>
      </c>
      <c r="Q201">
        <v>210</v>
      </c>
      <c r="R201">
        <v>30</v>
      </c>
      <c r="S201">
        <v>2</v>
      </c>
    </row>
    <row r="202" spans="16:19">
      <c r="P202" t="str">
        <v>紅ほっぺ</v>
      </c>
      <c r="Q202">
        <v>300</v>
      </c>
      <c r="R202">
        <v>80</v>
      </c>
      <c r="S202">
        <v>3</v>
      </c>
    </row>
    <row r="203" spans="16:19">
      <c r="P203" t="str">
        <v>紅ほっぺ</v>
      </c>
      <c r="Q203">
        <v>790</v>
      </c>
      <c r="R203">
        <v>250</v>
      </c>
      <c r="S203">
        <v>8</v>
      </c>
    </row>
    <row r="204" spans="16:19">
      <c r="P204" t="str">
        <v>紅ほっぺ</v>
      </c>
      <c r="Q204">
        <v>120</v>
      </c>
      <c r="R204">
        <v>160</v>
      </c>
      <c r="S204">
        <v>1</v>
      </c>
    </row>
    <row r="205" spans="16:19">
      <c r="P205" t="str">
        <v>無</v>
      </c>
      <c r="Q205">
        <v>0</v>
      </c>
      <c r="R205">
        <v>150</v>
      </c>
      <c r="S205">
        <v>0</v>
      </c>
    </row>
    <row r="206" spans="16:19">
      <c r="P206" t="str">
        <v>無</v>
      </c>
      <c r="Q206">
        <v>450</v>
      </c>
      <c r="R206">
        <v>140</v>
      </c>
      <c r="S206">
        <v>4</v>
      </c>
    </row>
    <row r="207" spans="16:19">
      <c r="P207" t="str">
        <v>紅ほっぺ</v>
      </c>
      <c r="Q207">
        <v>120</v>
      </c>
      <c r="R207">
        <v>0</v>
      </c>
      <c r="S207">
        <v>1</v>
      </c>
    </row>
    <row r="208" spans="16:19">
      <c r="P208" t="str">
        <v>紅ほっぺ</v>
      </c>
      <c r="Q208">
        <v>470</v>
      </c>
      <c r="R208">
        <v>210</v>
      </c>
      <c r="S208">
        <v>4</v>
      </c>
    </row>
    <row r="209" spans="16:19">
      <c r="P209" t="str">
        <v>無</v>
      </c>
      <c r="Q209">
        <v>470</v>
      </c>
      <c r="R209">
        <v>880</v>
      </c>
      <c r="S209">
        <v>3</v>
      </c>
    </row>
    <row r="210" spans="16:19">
      <c r="P210" t="str">
        <v>紅ほっぺ</v>
      </c>
      <c r="Q210">
        <v>420</v>
      </c>
      <c r="R210">
        <v>80</v>
      </c>
      <c r="S210">
        <v>4</v>
      </c>
    </row>
    <row r="211" spans="16:19">
      <c r="P211" t="str">
        <v>紅ほっぺ</v>
      </c>
      <c r="Q211">
        <v>1230</v>
      </c>
      <c r="R211">
        <v>230</v>
      </c>
      <c r="S211">
        <v>12</v>
      </c>
    </row>
    <row r="212" spans="16:19">
      <c r="P212" t="str">
        <v>紅ほっぺ</v>
      </c>
      <c r="Q212">
        <v>450</v>
      </c>
      <c r="R212">
        <v>290</v>
      </c>
      <c r="S212">
        <v>4</v>
      </c>
    </row>
    <row r="213" spans="16:19">
      <c r="P213" t="str">
        <v>紅ほっぺ</v>
      </c>
      <c r="Q213">
        <v>450</v>
      </c>
      <c r="R213">
        <v>350</v>
      </c>
      <c r="S213">
        <v>4</v>
      </c>
    </row>
    <row r="214" spans="16:19">
      <c r="P214" t="str">
        <v>無</v>
      </c>
      <c r="Q214">
        <v>3060</v>
      </c>
      <c r="R214">
        <v>1580</v>
      </c>
      <c r="S214">
        <v>22</v>
      </c>
    </row>
    <row r="215" spans="16:19">
      <c r="P215" t="str">
        <v>紅ほっぺ</v>
      </c>
      <c r="Q215">
        <v>0</v>
      </c>
      <c r="R215">
        <v>120</v>
      </c>
      <c r="S215">
        <v>0</v>
      </c>
    </row>
    <row r="216" spans="16:19">
      <c r="P216" t="str">
        <v>紅ほっぺ</v>
      </c>
      <c r="Q216">
        <v>750</v>
      </c>
      <c r="R216">
        <v>450</v>
      </c>
      <c r="S216">
        <v>7</v>
      </c>
    </row>
    <row r="217" spans="16:19">
      <c r="P217" t="str">
        <v>無</v>
      </c>
      <c r="Q217">
        <v>900</v>
      </c>
      <c r="R217">
        <v>870</v>
      </c>
      <c r="S217">
        <v>7</v>
      </c>
    </row>
    <row r="218" spans="16:19">
      <c r="P218" t="str">
        <v>紅ほっぺ</v>
      </c>
      <c r="Q218">
        <v>350</v>
      </c>
      <c r="R218">
        <v>270</v>
      </c>
      <c r="S218">
        <v>2</v>
      </c>
    </row>
    <row r="219" spans="16:19">
      <c r="P219" t="str">
        <v>紅ほっぺ</v>
      </c>
      <c r="Q219">
        <v>2100</v>
      </c>
      <c r="R219">
        <v>480</v>
      </c>
      <c r="S219">
        <v>19</v>
      </c>
    </row>
    <row r="220" spans="16:19">
      <c r="P220" t="str">
        <v>紅ほっぺ</v>
      </c>
      <c r="Q220">
        <v>170</v>
      </c>
      <c r="R220">
        <v>330</v>
      </c>
      <c r="S220">
        <v>2</v>
      </c>
    </row>
    <row r="221" spans="16:19">
      <c r="P221" t="str">
        <v>無</v>
      </c>
      <c r="Q221">
        <v>360</v>
      </c>
      <c r="R221">
        <v>200</v>
      </c>
      <c r="S221">
        <v>2</v>
      </c>
    </row>
    <row r="222" spans="16:19">
      <c r="P222" t="str">
        <v>無</v>
      </c>
      <c r="Q222">
        <v>3000</v>
      </c>
      <c r="R222">
        <v>2000</v>
      </c>
      <c r="S222">
        <v>28</v>
      </c>
    </row>
    <row r="223" spans="16:19">
      <c r="P223" t="str">
        <v>無</v>
      </c>
      <c r="Q223">
        <v>4000</v>
      </c>
      <c r="R223">
        <v>1560</v>
      </c>
      <c r="S223">
        <v>38</v>
      </c>
    </row>
    <row r="224" spans="16:19">
      <c r="P224" t="str">
        <v>無</v>
      </c>
      <c r="Q224">
        <v>0</v>
      </c>
      <c r="R224">
        <v>1240</v>
      </c>
      <c r="S224">
        <v>0</v>
      </c>
    </row>
    <row r="225" spans="16:19">
      <c r="P225" t="str">
        <v>紅ほっぺ</v>
      </c>
      <c r="Q225">
        <v>230</v>
      </c>
      <c r="R225">
        <v>470</v>
      </c>
      <c r="S225">
        <v>2</v>
      </c>
    </row>
    <row r="226" spans="16:19">
      <c r="P226" t="str">
        <v>紅ほっぺ</v>
      </c>
      <c r="Q226">
        <v>370</v>
      </c>
      <c r="R226">
        <v>570</v>
      </c>
      <c r="S226">
        <v>3</v>
      </c>
    </row>
    <row r="227" spans="16:19">
      <c r="P227" t="str">
        <v>無</v>
      </c>
      <c r="Q227">
        <v>920</v>
      </c>
      <c r="R227">
        <v>840</v>
      </c>
      <c r="S227">
        <v>1</v>
      </c>
    </row>
    <row r="228" spans="16:19">
      <c r="P228" t="str">
        <v>紅ほっぺ</v>
      </c>
      <c r="Q228">
        <v>260</v>
      </c>
      <c r="R228">
        <v>600</v>
      </c>
      <c r="S228">
        <v>2</v>
      </c>
    </row>
    <row r="229" spans="16:19">
      <c r="P229" t="str">
        <v>紅ほっぺ</v>
      </c>
      <c r="Q229">
        <v>1500</v>
      </c>
      <c r="R229">
        <v>1120</v>
      </c>
      <c r="S229">
        <v>14</v>
      </c>
    </row>
    <row r="230" spans="16:19">
      <c r="P230" t="str">
        <v>紅ほっぺ</v>
      </c>
      <c r="Q230">
        <v>260</v>
      </c>
      <c r="R230">
        <v>660</v>
      </c>
      <c r="S230">
        <v>2</v>
      </c>
    </row>
    <row r="231" spans="16:19">
      <c r="P231" t="str">
        <v>紅ほっぺ</v>
      </c>
      <c r="Q231">
        <v>0</v>
      </c>
      <c r="R231">
        <v>520</v>
      </c>
      <c r="S231">
        <v>0</v>
      </c>
    </row>
    <row r="232" spans="16:19">
      <c r="P232" t="str">
        <v>無</v>
      </c>
      <c r="Q232">
        <v>2120</v>
      </c>
      <c r="R232">
        <v>6920</v>
      </c>
      <c r="S232">
        <v>19</v>
      </c>
    </row>
    <row r="233" spans="16:19">
      <c r="P233" t="str">
        <v>無</v>
      </c>
      <c r="Q233">
        <v>0</v>
      </c>
      <c r="R233">
        <v>1520</v>
      </c>
      <c r="S233">
        <v>0</v>
      </c>
    </row>
    <row r="234" spans="16:19">
      <c r="P234" t="str">
        <v>紅ほっぺ</v>
      </c>
      <c r="Q234">
        <v>1060</v>
      </c>
      <c r="R234">
        <v>740</v>
      </c>
      <c r="S234">
        <v>10</v>
      </c>
    </row>
    <row r="235" spans="16:19">
      <c r="P235" t="str">
        <v>無</v>
      </c>
      <c r="Q235">
        <v>840</v>
      </c>
      <c r="R235">
        <v>300</v>
      </c>
      <c r="S235">
        <v>6</v>
      </c>
    </row>
    <row r="236" spans="16:19">
      <c r="P236" t="str">
        <v>紅ほっぺ</v>
      </c>
      <c r="Q236">
        <v>100</v>
      </c>
      <c r="R236">
        <v>340</v>
      </c>
      <c r="S236">
        <v>1</v>
      </c>
    </row>
    <row r="237" spans="16:19">
      <c r="P237" t="str">
        <v>紅ほっぺ</v>
      </c>
      <c r="Q237">
        <v>240</v>
      </c>
      <c r="R237">
        <v>760</v>
      </c>
      <c r="S237">
        <v>2</v>
      </c>
    </row>
    <row r="238" spans="16:19">
      <c r="P238" t="str">
        <v>無</v>
      </c>
      <c r="Q238">
        <v>200</v>
      </c>
      <c r="R238">
        <v>420</v>
      </c>
      <c r="S238">
        <v>2</v>
      </c>
    </row>
    <row r="239" spans="16:19">
      <c r="P239" t="str">
        <v>紅ほっぺ</v>
      </c>
      <c r="Q239">
        <v>120</v>
      </c>
      <c r="R239">
        <v>500</v>
      </c>
      <c r="S239">
        <v>1</v>
      </c>
    </row>
    <row r="240" spans="16:19">
      <c r="P240" t="str">
        <v>紅ほっぺ</v>
      </c>
      <c r="Q240">
        <v>830</v>
      </c>
      <c r="R240">
        <v>470</v>
      </c>
      <c r="S240">
        <v>4</v>
      </c>
    </row>
    <row r="241" spans="16:19">
      <c r="P241" t="str">
        <v>無</v>
      </c>
      <c r="Q241">
        <v>2730</v>
      </c>
      <c r="R241">
        <v>4220</v>
      </c>
      <c r="S241">
        <v>14</v>
      </c>
    </row>
    <row r="242" spans="16:19">
      <c r="P242" t="str">
        <v>無</v>
      </c>
      <c r="Q242">
        <v>410</v>
      </c>
      <c r="R242">
        <v>880</v>
      </c>
      <c r="S242">
        <v>2</v>
      </c>
    </row>
    <row r="243" spans="16:19">
      <c r="P243" t="str">
        <v>無</v>
      </c>
      <c r="Q243">
        <v>0</v>
      </c>
      <c r="R243">
        <v>1940</v>
      </c>
      <c r="S243">
        <v>0</v>
      </c>
    </row>
    <row r="244" spans="16:19">
      <c r="P244" t="str">
        <v>紅ほっぺ</v>
      </c>
      <c r="Q244">
        <v>210</v>
      </c>
      <c r="R244">
        <v>310</v>
      </c>
      <c r="S244">
        <v>2</v>
      </c>
    </row>
    <row r="245" spans="16:19">
      <c r="P245" t="str">
        <v>無</v>
      </c>
      <c r="Q245">
        <v>170</v>
      </c>
      <c r="R245">
        <v>150</v>
      </c>
      <c r="S245">
        <v>0</v>
      </c>
    </row>
    <row r="246" spans="16:19">
      <c r="P246" t="str">
        <v>紅ほっぺ</v>
      </c>
      <c r="Q246">
        <v>900</v>
      </c>
      <c r="R246">
        <v>600</v>
      </c>
      <c r="S246">
        <v>0</v>
      </c>
    </row>
    <row r="247" spans="16:19">
      <c r="P247" t="str">
        <v>紅ほっぺ</v>
      </c>
      <c r="Q247">
        <v>40</v>
      </c>
      <c r="R247">
        <v>350</v>
      </c>
      <c r="S247">
        <v>0</v>
      </c>
    </row>
    <row r="248" spans="16:19">
      <c r="P248" t="str">
        <v>紅ほっぺ</v>
      </c>
      <c r="Q248">
        <v>140</v>
      </c>
      <c r="R248">
        <v>520</v>
      </c>
      <c r="S248">
        <v>1</v>
      </c>
    </row>
    <row r="249" spans="16:19">
      <c r="P249" t="str">
        <v>無</v>
      </c>
      <c r="Q249">
        <v>150</v>
      </c>
      <c r="R249">
        <v>0</v>
      </c>
      <c r="S249">
        <v>1</v>
      </c>
    </row>
    <row r="250" spans="16:19">
      <c r="P250" t="str">
        <v>無</v>
      </c>
      <c r="Q250">
        <v>1400</v>
      </c>
      <c r="R250">
        <v>1700</v>
      </c>
      <c r="S250">
        <v>11</v>
      </c>
    </row>
    <row r="251" spans="16:19">
      <c r="P251" t="str">
        <v>無</v>
      </c>
      <c r="Q251">
        <v>240</v>
      </c>
      <c r="R251">
        <v>0</v>
      </c>
      <c r="S251">
        <v>2</v>
      </c>
    </row>
    <row r="252" spans="16:19">
      <c r="P252" t="str">
        <v>紅ほっぺ</v>
      </c>
      <c r="Q252">
        <v>500</v>
      </c>
      <c r="R252">
        <v>0</v>
      </c>
      <c r="S252">
        <v>15</v>
      </c>
    </row>
    <row r="253" spans="16:19">
      <c r="P253" t="str">
        <v>紅ほっぺ</v>
      </c>
      <c r="Q253">
        <v>1120</v>
      </c>
      <c r="R253">
        <v>0</v>
      </c>
      <c r="S253">
        <v>0</v>
      </c>
    </row>
    <row r="254" spans="16:19">
      <c r="P254" t="str">
        <v>無</v>
      </c>
      <c r="Q254">
        <v>300</v>
      </c>
      <c r="R254">
        <v>0</v>
      </c>
      <c r="S254">
        <v>0</v>
      </c>
    </row>
    <row r="255" spans="16:19">
      <c r="P255" t="str">
        <v>紅ほっぺ</v>
      </c>
      <c r="Q255">
        <v>1140</v>
      </c>
      <c r="R255">
        <v>0</v>
      </c>
      <c r="S255">
        <v>0</v>
      </c>
    </row>
    <row r="256" spans="16:19">
      <c r="P256" t="str">
        <v>紅ほっぺ</v>
      </c>
      <c r="Q256">
        <v>1400</v>
      </c>
      <c r="R256">
        <v>0</v>
      </c>
      <c r="S256">
        <v>0</v>
      </c>
    </row>
    <row r="257" spans="16:19">
      <c r="P257" t="str">
        <v>紅ほっぺ</v>
      </c>
      <c r="Q257">
        <v>300</v>
      </c>
      <c r="R257">
        <v>0</v>
      </c>
      <c r="S257">
        <v>0</v>
      </c>
    </row>
    <row r="258" spans="16:19">
      <c r="P258" t="str">
        <v>紅ほっぺ</v>
      </c>
      <c r="Q258">
        <v>500</v>
      </c>
      <c r="R258">
        <v>0</v>
      </c>
      <c r="S258">
        <v>0</v>
      </c>
    </row>
    <row r="259" spans="16:19">
      <c r="P259" t="str">
        <v>無</v>
      </c>
      <c r="Q259">
        <v>100</v>
      </c>
      <c r="R259">
        <v>0</v>
      </c>
      <c r="S259">
        <v>0</v>
      </c>
    </row>
    <row r="260" spans="16:19">
      <c r="P260" t="str">
        <v>無</v>
      </c>
      <c r="Q260">
        <v>6240</v>
      </c>
      <c r="R260">
        <v>0</v>
      </c>
      <c r="S260">
        <v>0</v>
      </c>
    </row>
    <row r="261" spans="16:19">
      <c r="P261" t="str">
        <v>無</v>
      </c>
      <c r="Q261">
        <v>880</v>
      </c>
      <c r="R261">
        <v>0</v>
      </c>
      <c r="S261">
        <v>0</v>
      </c>
    </row>
    <row r="262" spans="16:19">
      <c r="P262" t="str">
        <v>無</v>
      </c>
      <c r="Q262">
        <v>880</v>
      </c>
      <c r="R262">
        <v>0</v>
      </c>
      <c r="S262">
        <v>0</v>
      </c>
    </row>
    <row r="263" spans="16:19">
      <c r="P263" t="str">
        <v>紅ほっぺ</v>
      </c>
      <c r="Q263">
        <v>320</v>
      </c>
      <c r="R263">
        <v>0</v>
      </c>
      <c r="S263">
        <v>4</v>
      </c>
    </row>
    <row r="264" spans="16:19">
      <c r="P264" t="str">
        <v>紅ほっぺ</v>
      </c>
      <c r="Q264">
        <v>1200</v>
      </c>
      <c r="R264">
        <v>0</v>
      </c>
      <c r="S264">
        <v>0</v>
      </c>
    </row>
    <row r="265" spans="16:19">
      <c r="P265" t="str">
        <v>無</v>
      </c>
      <c r="Q265">
        <v>3360</v>
      </c>
      <c r="R265">
        <v>0</v>
      </c>
      <c r="S265">
        <v>0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1"/>
  <sheetViews>
    <sheetView topLeftCell="A435" workbookViewId="0">
      <selection activeCell="F452" sqref="F452"/>
    </sheetView>
  </sheetViews>
  <sheetFormatPr defaultRowHeight="18"/>
  <cols>
    <col min="1" max="3" width="13.58203125" customWidth="1"/>
    <col min="4" max="4" width="16.25" bestFit="1" customWidth="1"/>
    <col min="5" max="5" width="14.33203125" bestFit="1" customWidth="1"/>
    <col min="6" max="6" width="10.4140625" bestFit="1" customWidth="1"/>
    <col min="7" max="7" width="12.33203125" bestFit="1" customWidth="1"/>
    <col min="8" max="8" width="8.5" bestFit="1" customWidth="1"/>
  </cols>
  <sheetData>
    <row r="1" spans="1:10">
      <c r="A1" s="5"/>
      <c r="B1" s="5"/>
      <c r="C1" s="5" t="s">
        <v>0</v>
      </c>
      <c r="D1" s="5" t="s">
        <v>1</v>
      </c>
      <c r="E1" s="5"/>
      <c r="F1" s="5"/>
      <c r="G1" s="5"/>
      <c r="H1" s="5"/>
      <c r="I1" s="5"/>
      <c r="J1" s="9" t="s">
        <v>66</v>
      </c>
    </row>
    <row r="2" spans="1:10" ht="18.5" thickBot="1">
      <c r="A2" s="5"/>
      <c r="B2" s="5"/>
      <c r="C2" s="5"/>
      <c r="D2" s="5"/>
      <c r="E2" s="5"/>
      <c r="F2" s="5"/>
      <c r="G2" s="5"/>
      <c r="H2" s="5"/>
      <c r="I2" s="5"/>
      <c r="J2" s="9" t="s">
        <v>112</v>
      </c>
    </row>
    <row r="3" spans="1:10" ht="18.5" thickBot="1">
      <c r="A3" s="5"/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  <c r="I3" s="5"/>
      <c r="J3" t="s">
        <v>65</v>
      </c>
    </row>
    <row r="4" spans="1:10">
      <c r="A4" s="5"/>
      <c r="B4" s="4">
        <v>45955</v>
      </c>
      <c r="C4" s="5" t="s">
        <v>9</v>
      </c>
      <c r="D4" s="5" t="s">
        <v>10</v>
      </c>
      <c r="E4" s="5" t="s">
        <v>11</v>
      </c>
      <c r="F4" s="5">
        <v>100</v>
      </c>
      <c r="G4" s="5">
        <v>0</v>
      </c>
      <c r="H4" s="5">
        <v>0</v>
      </c>
      <c r="I4" s="5"/>
    </row>
    <row r="5" spans="1:10">
      <c r="A5" s="5"/>
      <c r="B5" s="4">
        <v>45961</v>
      </c>
      <c r="C5" s="5" t="s">
        <v>12</v>
      </c>
      <c r="D5" s="5" t="s">
        <v>13</v>
      </c>
      <c r="E5" s="5" t="s">
        <v>14</v>
      </c>
      <c r="F5" s="5">
        <v>100</v>
      </c>
      <c r="G5" s="5">
        <v>0</v>
      </c>
      <c r="H5" s="5">
        <v>1</v>
      </c>
      <c r="I5" s="5"/>
    </row>
    <row r="6" spans="1:10">
      <c r="A6" s="5"/>
      <c r="B6" s="4">
        <v>45966</v>
      </c>
      <c r="C6" s="5" t="s">
        <v>12</v>
      </c>
      <c r="D6" s="5" t="s">
        <v>13</v>
      </c>
      <c r="E6" s="5" t="s">
        <v>11</v>
      </c>
      <c r="F6" s="5">
        <v>46</v>
      </c>
      <c r="G6" s="5">
        <v>0</v>
      </c>
      <c r="H6" s="5">
        <v>0</v>
      </c>
      <c r="I6" s="5"/>
    </row>
    <row r="7" spans="1:10">
      <c r="A7" s="5"/>
      <c r="B7" s="4">
        <v>45967</v>
      </c>
      <c r="C7" s="5" t="s">
        <v>9</v>
      </c>
      <c r="D7" s="5" t="s">
        <v>10</v>
      </c>
      <c r="E7" s="5" t="s">
        <v>11</v>
      </c>
      <c r="F7" s="5">
        <v>130</v>
      </c>
      <c r="G7" s="5">
        <v>0</v>
      </c>
      <c r="H7" s="5">
        <v>0</v>
      </c>
      <c r="I7" s="5"/>
    </row>
    <row r="8" spans="1:10">
      <c r="A8" s="5"/>
      <c r="B8" s="4">
        <v>45967</v>
      </c>
      <c r="C8" s="5" t="s">
        <v>15</v>
      </c>
      <c r="D8" s="5" t="s">
        <v>10</v>
      </c>
      <c r="E8" s="5" t="s">
        <v>11</v>
      </c>
      <c r="F8" s="5">
        <v>100</v>
      </c>
      <c r="G8" s="5">
        <v>0</v>
      </c>
      <c r="H8" s="5">
        <v>0</v>
      </c>
      <c r="I8" s="5"/>
    </row>
    <row r="9" spans="1:10">
      <c r="A9" s="5"/>
      <c r="B9" s="4">
        <v>45975</v>
      </c>
      <c r="C9" s="5" t="s">
        <v>9</v>
      </c>
      <c r="D9" s="5" t="s">
        <v>10</v>
      </c>
      <c r="E9" s="5" t="s">
        <v>11</v>
      </c>
      <c r="F9" s="5">
        <v>320</v>
      </c>
      <c r="G9" s="5">
        <v>0</v>
      </c>
      <c r="H9" s="5">
        <v>3</v>
      </c>
      <c r="I9" s="5"/>
    </row>
    <row r="10" spans="1:10">
      <c r="A10" s="5"/>
      <c r="B10" s="4">
        <v>45975</v>
      </c>
      <c r="C10" s="5" t="s">
        <v>15</v>
      </c>
      <c r="D10" s="5" t="s">
        <v>10</v>
      </c>
      <c r="E10" s="5" t="s">
        <v>11</v>
      </c>
      <c r="F10" s="5">
        <v>260</v>
      </c>
      <c r="G10" s="5">
        <v>0</v>
      </c>
      <c r="H10" s="5">
        <v>0</v>
      </c>
      <c r="I10" s="5"/>
    </row>
    <row r="11" spans="1:10">
      <c r="A11" s="5"/>
      <c r="B11" s="4">
        <v>45983</v>
      </c>
      <c r="C11" s="5" t="s">
        <v>16</v>
      </c>
      <c r="D11" s="5" t="s">
        <v>17</v>
      </c>
      <c r="E11" s="5" t="s">
        <v>11</v>
      </c>
      <c r="F11" s="5">
        <v>195</v>
      </c>
      <c r="G11" s="5">
        <v>0</v>
      </c>
      <c r="H11" s="5">
        <v>0</v>
      </c>
      <c r="I11" s="5"/>
    </row>
    <row r="12" spans="1:10">
      <c r="A12" s="5"/>
      <c r="B12" s="4">
        <v>45986</v>
      </c>
      <c r="C12" s="5" t="s">
        <v>18</v>
      </c>
      <c r="D12" s="5" t="s">
        <v>19</v>
      </c>
      <c r="E12" s="5" t="s">
        <v>11</v>
      </c>
      <c r="F12" s="5">
        <v>170</v>
      </c>
      <c r="G12" s="5">
        <v>0</v>
      </c>
      <c r="H12" s="5">
        <v>0</v>
      </c>
      <c r="I12" s="5"/>
    </row>
    <row r="13" spans="1:10">
      <c r="A13" s="5"/>
      <c r="B13" s="4">
        <v>45989</v>
      </c>
      <c r="C13" s="5" t="s">
        <v>12</v>
      </c>
      <c r="D13" s="5" t="s">
        <v>20</v>
      </c>
      <c r="E13" s="5" t="s">
        <v>21</v>
      </c>
      <c r="F13" s="5">
        <v>240</v>
      </c>
      <c r="G13" s="5">
        <v>0</v>
      </c>
      <c r="H13" s="5">
        <v>3</v>
      </c>
      <c r="I13" s="5"/>
    </row>
    <row r="14" spans="1:10">
      <c r="A14" s="5"/>
      <c r="B14" s="4">
        <v>45989</v>
      </c>
      <c r="C14" s="5" t="s">
        <v>9</v>
      </c>
      <c r="D14" s="5" t="s">
        <v>10</v>
      </c>
      <c r="E14" s="5" t="s">
        <v>11</v>
      </c>
      <c r="F14" s="5">
        <v>320</v>
      </c>
      <c r="G14" s="5">
        <v>0</v>
      </c>
      <c r="H14" s="5">
        <v>0</v>
      </c>
      <c r="I14" s="5"/>
    </row>
    <row r="15" spans="1:10">
      <c r="A15" s="5"/>
      <c r="B15" s="4">
        <v>45996</v>
      </c>
      <c r="C15" s="5" t="s">
        <v>12</v>
      </c>
      <c r="D15" s="5" t="s">
        <v>20</v>
      </c>
      <c r="E15" s="5" t="s">
        <v>21</v>
      </c>
      <c r="F15" s="5">
        <v>1510</v>
      </c>
      <c r="G15" s="5">
        <v>0</v>
      </c>
      <c r="H15" s="5">
        <v>12</v>
      </c>
      <c r="I15" s="5"/>
    </row>
    <row r="16" spans="1:10">
      <c r="A16" s="5"/>
      <c r="B16" s="4">
        <v>45996</v>
      </c>
      <c r="C16" s="5" t="s">
        <v>22</v>
      </c>
      <c r="D16" s="5" t="s">
        <v>10</v>
      </c>
      <c r="E16" s="5" t="s">
        <v>23</v>
      </c>
      <c r="F16" s="5">
        <v>46</v>
      </c>
      <c r="G16" s="5">
        <v>0</v>
      </c>
      <c r="H16" s="5">
        <v>0</v>
      </c>
      <c r="I16" s="5"/>
    </row>
    <row r="17" spans="1:9">
      <c r="A17" s="5"/>
      <c r="B17" s="4">
        <v>45996</v>
      </c>
      <c r="C17" s="5" t="s">
        <v>22</v>
      </c>
      <c r="D17" s="5" t="s">
        <v>10</v>
      </c>
      <c r="E17" s="5" t="s">
        <v>11</v>
      </c>
      <c r="F17" s="5">
        <v>200</v>
      </c>
      <c r="G17" s="5">
        <v>0</v>
      </c>
      <c r="H17" s="5">
        <v>0</v>
      </c>
      <c r="I17" s="5"/>
    </row>
    <row r="18" spans="1:9">
      <c r="A18" s="5"/>
      <c r="B18" s="4">
        <v>45996</v>
      </c>
      <c r="C18" s="5" t="s">
        <v>22</v>
      </c>
      <c r="D18" s="5" t="s">
        <v>10</v>
      </c>
      <c r="E18" s="5" t="s">
        <v>21</v>
      </c>
      <c r="F18" s="5">
        <v>120</v>
      </c>
      <c r="G18" s="5">
        <v>0</v>
      </c>
      <c r="H18" s="5">
        <v>0</v>
      </c>
      <c r="I18" s="5"/>
    </row>
    <row r="19" spans="1:9">
      <c r="A19" s="5"/>
      <c r="B19" s="4">
        <v>45997</v>
      </c>
      <c r="C19" s="5" t="s">
        <v>12</v>
      </c>
      <c r="D19" s="5" t="s">
        <v>17</v>
      </c>
      <c r="E19" s="5" t="s">
        <v>11</v>
      </c>
      <c r="F19" s="5">
        <v>540</v>
      </c>
      <c r="G19" s="5">
        <v>0</v>
      </c>
      <c r="H19" s="5">
        <v>3</v>
      </c>
      <c r="I19" s="5"/>
    </row>
    <row r="20" spans="1:9">
      <c r="A20" s="5"/>
      <c r="B20" s="4">
        <v>46003</v>
      </c>
      <c r="C20" s="5" t="s">
        <v>12</v>
      </c>
      <c r="D20" s="5" t="s">
        <v>24</v>
      </c>
      <c r="E20" s="5" t="s">
        <v>25</v>
      </c>
      <c r="F20" s="5">
        <v>80</v>
      </c>
      <c r="G20" s="5">
        <v>0</v>
      </c>
      <c r="H20" s="5">
        <v>0</v>
      </c>
      <c r="I20" s="5"/>
    </row>
    <row r="21" spans="1:9">
      <c r="A21" s="5"/>
      <c r="B21" s="4">
        <v>46003</v>
      </c>
      <c r="C21" s="5" t="s">
        <v>12</v>
      </c>
      <c r="D21" s="5" t="s">
        <v>19</v>
      </c>
      <c r="E21" s="5" t="s">
        <v>23</v>
      </c>
      <c r="F21" s="5">
        <v>0</v>
      </c>
      <c r="G21" s="5">
        <v>200</v>
      </c>
      <c r="H21" s="5">
        <v>0</v>
      </c>
      <c r="I21" s="5"/>
    </row>
    <row r="22" spans="1:9">
      <c r="A22" s="5"/>
      <c r="B22" s="4">
        <v>46003</v>
      </c>
      <c r="C22" s="5" t="s">
        <v>12</v>
      </c>
      <c r="D22" s="5" t="s">
        <v>20</v>
      </c>
      <c r="E22" s="5" t="s">
        <v>21</v>
      </c>
      <c r="F22" s="5">
        <v>3340</v>
      </c>
      <c r="G22" s="5">
        <v>0</v>
      </c>
      <c r="H22" s="5">
        <v>32</v>
      </c>
      <c r="I22" s="5"/>
    </row>
    <row r="23" spans="1:9">
      <c r="A23" s="5"/>
      <c r="B23" s="4">
        <v>46003</v>
      </c>
      <c r="C23" s="5" t="s">
        <v>9</v>
      </c>
      <c r="D23" s="5" t="s">
        <v>10</v>
      </c>
      <c r="E23" s="5" t="s">
        <v>21</v>
      </c>
      <c r="F23" s="5">
        <v>240</v>
      </c>
      <c r="G23" s="5">
        <v>0</v>
      </c>
      <c r="H23" s="5">
        <v>0</v>
      </c>
      <c r="I23" s="5"/>
    </row>
    <row r="24" spans="1:9">
      <c r="A24" s="5"/>
      <c r="B24" s="4">
        <v>46003</v>
      </c>
      <c r="C24" s="5" t="s">
        <v>9</v>
      </c>
      <c r="D24" s="5" t="s">
        <v>10</v>
      </c>
      <c r="E24" s="5" t="s">
        <v>23</v>
      </c>
      <c r="F24" s="5">
        <v>240</v>
      </c>
      <c r="G24" s="5">
        <v>0</v>
      </c>
      <c r="H24" s="5">
        <v>0</v>
      </c>
      <c r="I24" s="5"/>
    </row>
    <row r="25" spans="1:9">
      <c r="A25" s="5"/>
      <c r="B25" s="4">
        <v>46003</v>
      </c>
      <c r="C25" s="5" t="s">
        <v>9</v>
      </c>
      <c r="D25" s="5" t="s">
        <v>10</v>
      </c>
      <c r="E25" s="5" t="s">
        <v>11</v>
      </c>
      <c r="F25" s="5">
        <v>260</v>
      </c>
      <c r="G25" s="5">
        <v>0</v>
      </c>
      <c r="H25" s="5">
        <v>0</v>
      </c>
      <c r="I25" s="5"/>
    </row>
    <row r="26" spans="1:9">
      <c r="A26" s="5"/>
      <c r="B26" s="4">
        <v>46010</v>
      </c>
      <c r="C26" s="5" t="s">
        <v>12</v>
      </c>
      <c r="D26" s="5" t="s">
        <v>20</v>
      </c>
      <c r="E26" s="5" t="s">
        <v>21</v>
      </c>
      <c r="F26" s="5">
        <v>5140</v>
      </c>
      <c r="G26" s="5">
        <v>0</v>
      </c>
      <c r="H26" s="5">
        <v>31</v>
      </c>
      <c r="I26" s="5"/>
    </row>
    <row r="27" spans="1:9">
      <c r="A27" s="5"/>
      <c r="B27" s="4">
        <v>46010</v>
      </c>
      <c r="C27" s="5" t="s">
        <v>18</v>
      </c>
      <c r="D27" s="5" t="s">
        <v>19</v>
      </c>
      <c r="E27" s="5" t="s">
        <v>23</v>
      </c>
      <c r="F27" s="5">
        <v>440</v>
      </c>
      <c r="G27" s="5">
        <v>0</v>
      </c>
      <c r="H27" s="5">
        <v>4</v>
      </c>
      <c r="I27" s="5"/>
    </row>
    <row r="28" spans="1:9">
      <c r="A28" s="5"/>
      <c r="B28" s="4">
        <v>46010</v>
      </c>
      <c r="C28" s="5" t="s">
        <v>12</v>
      </c>
      <c r="D28" s="5" t="s">
        <v>24</v>
      </c>
      <c r="E28" s="5" t="s">
        <v>25</v>
      </c>
      <c r="F28" s="5">
        <v>120</v>
      </c>
      <c r="G28" s="5">
        <v>0</v>
      </c>
      <c r="H28" s="5">
        <v>0</v>
      </c>
      <c r="I28" s="5"/>
    </row>
    <row r="29" spans="1:9">
      <c r="A29" s="5"/>
      <c r="B29" s="4">
        <v>46010</v>
      </c>
      <c r="C29" s="5" t="s">
        <v>9</v>
      </c>
      <c r="D29" s="5" t="s">
        <v>10</v>
      </c>
      <c r="E29" s="5" t="s">
        <v>11</v>
      </c>
      <c r="F29" s="5">
        <v>120</v>
      </c>
      <c r="G29" s="5">
        <v>0</v>
      </c>
      <c r="H29" s="5">
        <v>0</v>
      </c>
      <c r="I29" s="5"/>
    </row>
    <row r="30" spans="1:9">
      <c r="A30" s="5"/>
      <c r="B30" s="4">
        <v>46010</v>
      </c>
      <c r="C30" s="5" t="s">
        <v>9</v>
      </c>
      <c r="D30" s="5" t="s">
        <v>10</v>
      </c>
      <c r="E30" s="5" t="s">
        <v>23</v>
      </c>
      <c r="F30" s="5">
        <v>220</v>
      </c>
      <c r="G30" s="5">
        <v>0</v>
      </c>
      <c r="H30" s="5">
        <v>0</v>
      </c>
      <c r="I30" s="5"/>
    </row>
    <row r="31" spans="1:9">
      <c r="A31" s="5"/>
      <c r="B31" s="4">
        <v>46010</v>
      </c>
      <c r="C31" s="5" t="s">
        <v>9</v>
      </c>
      <c r="D31" s="5" t="s">
        <v>10</v>
      </c>
      <c r="E31" s="5" t="s">
        <v>21</v>
      </c>
      <c r="F31" s="5">
        <v>480</v>
      </c>
      <c r="G31" s="5">
        <v>0</v>
      </c>
      <c r="H31" s="5">
        <v>0</v>
      </c>
      <c r="I31" s="5"/>
    </row>
    <row r="32" spans="1:9">
      <c r="A32" s="5"/>
      <c r="B32" s="4">
        <v>46014</v>
      </c>
      <c r="C32" s="5" t="s">
        <v>12</v>
      </c>
      <c r="D32" s="5" t="s">
        <v>20</v>
      </c>
      <c r="E32" s="5" t="s">
        <v>21</v>
      </c>
      <c r="F32" s="5">
        <v>840</v>
      </c>
      <c r="G32" s="5">
        <v>0</v>
      </c>
      <c r="H32" s="5">
        <v>0</v>
      </c>
      <c r="I32" s="5"/>
    </row>
    <row r="33" spans="1:9">
      <c r="A33" s="5"/>
      <c r="B33" s="4">
        <v>46015</v>
      </c>
      <c r="C33" s="5" t="s">
        <v>12</v>
      </c>
      <c r="D33" s="5" t="s">
        <v>20</v>
      </c>
      <c r="E33" s="5" t="s">
        <v>21</v>
      </c>
      <c r="F33" s="5">
        <v>1600</v>
      </c>
      <c r="G33" s="5">
        <v>500</v>
      </c>
      <c r="H33" s="5">
        <v>15</v>
      </c>
      <c r="I33" s="5"/>
    </row>
    <row r="34" spans="1:9">
      <c r="A34" s="5"/>
      <c r="B34" s="4">
        <v>46015</v>
      </c>
      <c r="C34" s="5" t="s">
        <v>12</v>
      </c>
      <c r="D34" s="5" t="s">
        <v>19</v>
      </c>
      <c r="E34" s="5" t="s">
        <v>23</v>
      </c>
      <c r="F34" s="5">
        <v>960</v>
      </c>
      <c r="G34" s="5">
        <v>560</v>
      </c>
      <c r="H34" s="5">
        <v>8</v>
      </c>
      <c r="I34" s="5"/>
    </row>
    <row r="35" spans="1:9">
      <c r="A35" s="5"/>
      <c r="B35" s="4">
        <v>46015</v>
      </c>
      <c r="C35" s="5" t="s">
        <v>12</v>
      </c>
      <c r="D35" s="5" t="s">
        <v>17</v>
      </c>
      <c r="E35" s="5" t="s">
        <v>11</v>
      </c>
      <c r="F35" s="5">
        <v>80</v>
      </c>
      <c r="G35" s="5">
        <v>0</v>
      </c>
      <c r="H35" s="5">
        <v>0</v>
      </c>
      <c r="I35" s="5"/>
    </row>
    <row r="36" spans="1:9">
      <c r="A36" s="5"/>
      <c r="B36" s="4">
        <v>46017</v>
      </c>
      <c r="C36" s="5" t="s">
        <v>12</v>
      </c>
      <c r="D36" s="5" t="s">
        <v>26</v>
      </c>
      <c r="E36" s="5" t="s">
        <v>11</v>
      </c>
      <c r="F36" s="5">
        <v>400</v>
      </c>
      <c r="G36" s="5">
        <v>0</v>
      </c>
      <c r="H36" s="5">
        <v>0</v>
      </c>
      <c r="I36" s="5"/>
    </row>
    <row r="37" spans="1:9">
      <c r="A37" s="5"/>
      <c r="B37" s="4">
        <v>46017</v>
      </c>
      <c r="C37" s="5" t="s">
        <v>12</v>
      </c>
      <c r="D37" s="5" t="s">
        <v>27</v>
      </c>
      <c r="E37" s="5" t="s">
        <v>25</v>
      </c>
      <c r="F37" s="5">
        <v>100</v>
      </c>
      <c r="G37" s="5">
        <v>0</v>
      </c>
      <c r="H37" s="5">
        <v>0</v>
      </c>
      <c r="I37" s="5"/>
    </row>
    <row r="38" spans="1:9">
      <c r="A38" s="5"/>
      <c r="B38" s="4">
        <v>46017</v>
      </c>
      <c r="C38" s="5" t="s">
        <v>22</v>
      </c>
      <c r="D38" s="5" t="s">
        <v>10</v>
      </c>
      <c r="E38" s="5" t="s">
        <v>11</v>
      </c>
      <c r="F38" s="5">
        <v>120</v>
      </c>
      <c r="G38" s="5">
        <v>0</v>
      </c>
      <c r="H38" s="5">
        <v>0</v>
      </c>
      <c r="I38" s="5"/>
    </row>
    <row r="39" spans="1:9">
      <c r="A39" s="5"/>
      <c r="B39" s="4">
        <v>46017</v>
      </c>
      <c r="C39" s="5"/>
      <c r="D39" s="5" t="s">
        <v>10</v>
      </c>
      <c r="E39" s="5" t="s">
        <v>21</v>
      </c>
      <c r="F39" s="5">
        <v>300</v>
      </c>
      <c r="G39" s="5">
        <v>0</v>
      </c>
      <c r="H39" s="5">
        <v>0</v>
      </c>
      <c r="I39" s="5"/>
    </row>
    <row r="40" spans="1:9">
      <c r="A40" s="5"/>
      <c r="B40" s="4">
        <v>46017</v>
      </c>
      <c r="C40" s="5"/>
      <c r="D40" s="5" t="s">
        <v>10</v>
      </c>
      <c r="E40" s="5" t="s">
        <v>23</v>
      </c>
      <c r="F40" s="5">
        <v>500</v>
      </c>
      <c r="G40" s="5">
        <v>0</v>
      </c>
      <c r="H40" s="5">
        <v>0</v>
      </c>
      <c r="I40" s="5"/>
    </row>
    <row r="41" spans="1:9">
      <c r="A41" s="5"/>
      <c r="B41" s="4">
        <v>45665</v>
      </c>
      <c r="C41" s="5" t="s">
        <v>12</v>
      </c>
      <c r="D41" s="4" t="s">
        <v>17</v>
      </c>
      <c r="E41" s="5" t="s">
        <v>11</v>
      </c>
      <c r="F41" s="5">
        <v>320</v>
      </c>
      <c r="G41" s="5">
        <v>0</v>
      </c>
      <c r="H41" s="5">
        <v>0</v>
      </c>
      <c r="I41" s="5"/>
    </row>
    <row r="42" spans="1:9">
      <c r="A42" s="5"/>
      <c r="B42" s="4">
        <v>45665</v>
      </c>
      <c r="C42" s="5"/>
      <c r="D42" s="4" t="s">
        <v>28</v>
      </c>
      <c r="E42" s="5" t="s">
        <v>11</v>
      </c>
      <c r="F42" s="5">
        <v>60</v>
      </c>
      <c r="G42" s="5">
        <v>0</v>
      </c>
      <c r="H42" s="5">
        <v>0</v>
      </c>
      <c r="I42" s="5"/>
    </row>
    <row r="43" spans="1:9">
      <c r="A43" s="5"/>
      <c r="B43" s="4">
        <v>45665</v>
      </c>
      <c r="C43" s="5"/>
      <c r="D43" s="5" t="s">
        <v>27</v>
      </c>
      <c r="E43" s="5" t="s">
        <v>25</v>
      </c>
      <c r="F43" s="5">
        <v>960</v>
      </c>
      <c r="G43" s="5">
        <v>0</v>
      </c>
      <c r="H43" s="5">
        <v>5</v>
      </c>
      <c r="I43" s="5"/>
    </row>
    <row r="44" spans="1:9">
      <c r="A44" s="5"/>
      <c r="B44" s="4">
        <v>45665</v>
      </c>
      <c r="C44" s="5"/>
      <c r="D44" s="5" t="s">
        <v>13</v>
      </c>
      <c r="E44" s="5" t="s">
        <v>11</v>
      </c>
      <c r="F44" s="5">
        <v>240</v>
      </c>
      <c r="G44" s="5">
        <v>0</v>
      </c>
      <c r="H44" s="5">
        <v>0</v>
      </c>
      <c r="I44" s="5"/>
    </row>
    <row r="45" spans="1:9">
      <c r="A45" s="5"/>
      <c r="B45" s="4">
        <v>45666</v>
      </c>
      <c r="C45" s="5" t="s">
        <v>18</v>
      </c>
      <c r="D45" s="5" t="s">
        <v>19</v>
      </c>
      <c r="E45" s="5" t="s">
        <v>25</v>
      </c>
      <c r="F45" s="5">
        <v>3940</v>
      </c>
      <c r="G45" s="5">
        <v>0</v>
      </c>
      <c r="H45" s="5">
        <v>28</v>
      </c>
      <c r="I45" s="5"/>
    </row>
    <row r="46" spans="1:9">
      <c r="A46" s="5"/>
      <c r="B46" s="4">
        <v>45666</v>
      </c>
      <c r="C46" s="5" t="s">
        <v>12</v>
      </c>
      <c r="D46" s="5" t="s">
        <v>19</v>
      </c>
      <c r="E46" s="5" t="s">
        <v>23</v>
      </c>
      <c r="F46" s="5">
        <v>160</v>
      </c>
      <c r="G46" s="5">
        <v>800</v>
      </c>
      <c r="H46" s="5">
        <v>0</v>
      </c>
      <c r="I46" s="5"/>
    </row>
    <row r="47" spans="1:9">
      <c r="A47" s="5"/>
      <c r="B47" s="4">
        <v>45666</v>
      </c>
      <c r="C47" s="5"/>
      <c r="D47" s="4" t="s">
        <v>24</v>
      </c>
      <c r="E47" s="5" t="s">
        <v>25</v>
      </c>
      <c r="F47" s="5">
        <v>340</v>
      </c>
      <c r="G47" s="5">
        <v>0</v>
      </c>
      <c r="H47" s="5">
        <v>0</v>
      </c>
      <c r="I47" s="5"/>
    </row>
    <row r="48" spans="1:9">
      <c r="A48" s="5"/>
      <c r="B48" s="4">
        <v>45666</v>
      </c>
      <c r="C48" s="5"/>
      <c r="D48" s="5" t="s">
        <v>17</v>
      </c>
      <c r="E48" s="5" t="s">
        <v>11</v>
      </c>
      <c r="F48" s="5">
        <v>100</v>
      </c>
      <c r="G48" s="5">
        <v>0</v>
      </c>
      <c r="H48" s="5">
        <v>0</v>
      </c>
      <c r="I48" s="5"/>
    </row>
    <row r="49" spans="1:9">
      <c r="A49" s="5"/>
      <c r="B49" s="4">
        <v>45666</v>
      </c>
      <c r="C49" s="5"/>
      <c r="D49" s="4" t="s">
        <v>26</v>
      </c>
      <c r="E49" s="5" t="s">
        <v>25</v>
      </c>
      <c r="F49" s="5">
        <v>1140</v>
      </c>
      <c r="G49" s="5">
        <v>0</v>
      </c>
      <c r="H49" s="5">
        <v>0</v>
      </c>
      <c r="I49" s="5"/>
    </row>
    <row r="50" spans="1:9">
      <c r="A50" s="5"/>
      <c r="B50" s="4">
        <v>45666</v>
      </c>
      <c r="C50" s="5"/>
      <c r="D50" s="5" t="s">
        <v>20</v>
      </c>
      <c r="E50" s="5" t="s">
        <v>21</v>
      </c>
      <c r="F50" s="5">
        <v>4700</v>
      </c>
      <c r="G50" s="5">
        <v>0</v>
      </c>
      <c r="H50" s="5">
        <v>42</v>
      </c>
      <c r="I50" s="5"/>
    </row>
    <row r="51" spans="1:9">
      <c r="A51" s="5"/>
      <c r="B51" s="4">
        <v>45666</v>
      </c>
      <c r="C51" s="5" t="s">
        <v>9</v>
      </c>
      <c r="D51" s="4" t="s">
        <v>10</v>
      </c>
      <c r="E51" s="5" t="s">
        <v>11</v>
      </c>
      <c r="F51" s="5">
        <v>1120</v>
      </c>
      <c r="G51" s="5">
        <v>0</v>
      </c>
      <c r="H51" s="5">
        <v>10</v>
      </c>
      <c r="I51" s="5"/>
    </row>
    <row r="52" spans="1:9">
      <c r="A52" s="5"/>
      <c r="B52" s="4">
        <v>45666</v>
      </c>
      <c r="C52" s="5"/>
      <c r="D52" s="4" t="s">
        <v>10</v>
      </c>
      <c r="E52" s="5" t="s">
        <v>23</v>
      </c>
      <c r="F52" s="5">
        <v>880</v>
      </c>
      <c r="G52" s="5">
        <v>0</v>
      </c>
      <c r="H52" s="5">
        <v>6</v>
      </c>
      <c r="I52" s="5"/>
    </row>
    <row r="53" spans="1:9">
      <c r="A53" s="5"/>
      <c r="B53" s="4">
        <v>45666</v>
      </c>
      <c r="C53" s="5"/>
      <c r="D53" s="4" t="s">
        <v>10</v>
      </c>
      <c r="E53" s="5" t="s">
        <v>21</v>
      </c>
      <c r="F53" s="5">
        <v>220</v>
      </c>
      <c r="G53" s="5">
        <v>0</v>
      </c>
      <c r="H53" s="5">
        <v>1</v>
      </c>
      <c r="I53" s="5"/>
    </row>
    <row r="54" spans="1:9">
      <c r="A54" s="5"/>
      <c r="B54" s="4">
        <v>45672</v>
      </c>
      <c r="C54" s="5" t="s">
        <v>12</v>
      </c>
      <c r="D54" s="5" t="s">
        <v>24</v>
      </c>
      <c r="E54" s="5" t="s">
        <v>25</v>
      </c>
      <c r="F54" s="5">
        <v>600</v>
      </c>
      <c r="G54" s="5">
        <v>0</v>
      </c>
      <c r="H54" s="5">
        <v>5</v>
      </c>
      <c r="I54" s="5"/>
    </row>
    <row r="55" spans="1:9">
      <c r="A55" s="5"/>
      <c r="B55" s="4">
        <v>45672</v>
      </c>
      <c r="C55" s="5"/>
      <c r="D55" s="5" t="s">
        <v>17</v>
      </c>
      <c r="E55" s="5" t="s">
        <v>11</v>
      </c>
      <c r="F55" s="5">
        <v>300</v>
      </c>
      <c r="G55" s="5">
        <v>0</v>
      </c>
      <c r="H55" s="5">
        <v>1</v>
      </c>
      <c r="I55" s="5"/>
    </row>
    <row r="56" spans="1:9">
      <c r="A56" s="5"/>
      <c r="B56" s="4">
        <v>45672</v>
      </c>
      <c r="C56" s="5"/>
      <c r="D56" s="4" t="s">
        <v>27</v>
      </c>
      <c r="E56" s="5" t="s">
        <v>25</v>
      </c>
      <c r="F56" s="5">
        <v>980</v>
      </c>
      <c r="G56" s="5">
        <v>0</v>
      </c>
      <c r="H56" s="5">
        <v>8</v>
      </c>
      <c r="I56" s="5"/>
    </row>
    <row r="57" spans="1:9">
      <c r="A57" s="5"/>
      <c r="B57" s="4">
        <v>45672</v>
      </c>
      <c r="C57" s="5"/>
      <c r="D57" s="5" t="s">
        <v>29</v>
      </c>
      <c r="E57" s="5" t="s">
        <v>25</v>
      </c>
      <c r="F57" s="5">
        <v>500</v>
      </c>
      <c r="G57" s="5">
        <v>0</v>
      </c>
      <c r="H57" s="5">
        <v>3</v>
      </c>
      <c r="I57" s="5"/>
    </row>
    <row r="58" spans="1:9">
      <c r="A58" s="5"/>
      <c r="B58" s="4">
        <v>45672</v>
      </c>
      <c r="C58" s="5"/>
      <c r="D58" s="5" t="s">
        <v>13</v>
      </c>
      <c r="E58" s="5" t="s">
        <v>11</v>
      </c>
      <c r="F58" s="5">
        <v>380</v>
      </c>
      <c r="G58" s="5">
        <v>0</v>
      </c>
      <c r="H58" s="5">
        <v>2</v>
      </c>
      <c r="I58" s="5"/>
    </row>
    <row r="59" spans="1:9">
      <c r="A59" s="5"/>
      <c r="B59" s="4">
        <v>45672</v>
      </c>
      <c r="C59" s="5"/>
      <c r="D59" s="5" t="s">
        <v>28</v>
      </c>
      <c r="E59" s="5" t="s">
        <v>11</v>
      </c>
      <c r="F59" s="5">
        <v>1480</v>
      </c>
      <c r="G59" s="5">
        <v>0</v>
      </c>
      <c r="H59" s="5">
        <v>13</v>
      </c>
      <c r="I59" s="5"/>
    </row>
    <row r="60" spans="1:9">
      <c r="A60" s="5"/>
      <c r="B60" s="4">
        <v>45672</v>
      </c>
      <c r="C60" s="5"/>
      <c r="D60" s="5" t="s">
        <v>30</v>
      </c>
      <c r="E60" s="5" t="s">
        <v>25</v>
      </c>
      <c r="F60" s="5">
        <v>1500</v>
      </c>
      <c r="G60" s="5">
        <v>0</v>
      </c>
      <c r="H60" s="5">
        <v>13</v>
      </c>
      <c r="I60" s="5"/>
    </row>
    <row r="61" spans="1:9">
      <c r="A61" s="5"/>
      <c r="B61" s="4">
        <v>45672</v>
      </c>
      <c r="C61" s="5"/>
      <c r="D61" s="5" t="s">
        <v>31</v>
      </c>
      <c r="E61" s="5" t="s">
        <v>11</v>
      </c>
      <c r="F61" s="5">
        <v>420</v>
      </c>
      <c r="G61" s="5">
        <v>0</v>
      </c>
      <c r="H61" s="5">
        <v>3</v>
      </c>
      <c r="I61" s="5"/>
    </row>
    <row r="62" spans="1:9">
      <c r="A62" s="5"/>
      <c r="B62" s="4">
        <v>45672</v>
      </c>
      <c r="C62" s="5"/>
      <c r="D62" s="5" t="s">
        <v>32</v>
      </c>
      <c r="E62" s="5" t="s">
        <v>33</v>
      </c>
      <c r="F62" s="5">
        <v>800</v>
      </c>
      <c r="G62" s="5">
        <v>0</v>
      </c>
      <c r="H62" s="5">
        <v>7</v>
      </c>
      <c r="I62" s="5"/>
    </row>
    <row r="63" spans="1:9">
      <c r="A63" s="5"/>
      <c r="B63" s="4">
        <v>45672</v>
      </c>
      <c r="C63" s="5"/>
      <c r="D63" s="4" t="s">
        <v>26</v>
      </c>
      <c r="E63" s="5" t="s">
        <v>25</v>
      </c>
      <c r="F63" s="5">
        <v>1320</v>
      </c>
      <c r="G63" s="5">
        <v>0</v>
      </c>
      <c r="H63" s="5">
        <v>11</v>
      </c>
      <c r="I63" s="5"/>
    </row>
    <row r="64" spans="1:9">
      <c r="A64" s="5"/>
      <c r="B64" s="4">
        <v>45672</v>
      </c>
      <c r="C64" s="5"/>
      <c r="D64" s="5" t="s">
        <v>20</v>
      </c>
      <c r="E64" s="5" t="s">
        <v>21</v>
      </c>
      <c r="F64" s="5">
        <v>1460</v>
      </c>
      <c r="G64" s="5">
        <v>0</v>
      </c>
      <c r="H64" s="5">
        <v>12</v>
      </c>
      <c r="I64" s="5"/>
    </row>
    <row r="65" spans="1:9">
      <c r="A65" s="5"/>
      <c r="B65" s="4">
        <v>45672</v>
      </c>
      <c r="C65" s="5"/>
      <c r="D65" s="4" t="s">
        <v>19</v>
      </c>
      <c r="E65" s="5" t="s">
        <v>23</v>
      </c>
      <c r="F65" s="5">
        <v>1240</v>
      </c>
      <c r="G65" s="5">
        <v>0</v>
      </c>
      <c r="H65" s="5">
        <v>10</v>
      </c>
      <c r="I65" s="5"/>
    </row>
    <row r="66" spans="1:9">
      <c r="A66" s="5"/>
      <c r="B66" s="4">
        <v>45672</v>
      </c>
      <c r="C66" s="5" t="s">
        <v>18</v>
      </c>
      <c r="D66" s="5" t="s">
        <v>19</v>
      </c>
      <c r="E66" s="5" t="s">
        <v>25</v>
      </c>
      <c r="F66" s="5">
        <v>820</v>
      </c>
      <c r="G66" s="5">
        <v>0</v>
      </c>
      <c r="H66" s="5">
        <v>7</v>
      </c>
      <c r="I66" s="5"/>
    </row>
    <row r="67" spans="1:9">
      <c r="A67" s="5"/>
      <c r="B67" s="4">
        <v>45672</v>
      </c>
      <c r="C67" s="5" t="s">
        <v>9</v>
      </c>
      <c r="D67" s="4" t="s">
        <v>10</v>
      </c>
      <c r="E67" s="5" t="s">
        <v>11</v>
      </c>
      <c r="F67" s="5">
        <v>2300</v>
      </c>
      <c r="G67" s="5">
        <v>0</v>
      </c>
      <c r="H67" s="5">
        <v>21</v>
      </c>
      <c r="I67" s="5"/>
    </row>
    <row r="68" spans="1:9">
      <c r="A68" s="5"/>
      <c r="B68" s="4">
        <v>45672</v>
      </c>
      <c r="C68" s="5"/>
      <c r="D68" s="4" t="s">
        <v>10</v>
      </c>
      <c r="E68" s="5" t="s">
        <v>23</v>
      </c>
      <c r="F68" s="5">
        <v>500</v>
      </c>
      <c r="G68" s="5">
        <v>0</v>
      </c>
      <c r="H68" s="5">
        <v>2</v>
      </c>
      <c r="I68" s="5"/>
    </row>
    <row r="69" spans="1:9">
      <c r="A69" s="5"/>
      <c r="B69" s="4">
        <v>45672</v>
      </c>
      <c r="C69" s="5"/>
      <c r="D69" s="4" t="s">
        <v>10</v>
      </c>
      <c r="E69" s="5" t="s">
        <v>21</v>
      </c>
      <c r="F69" s="5">
        <v>520</v>
      </c>
      <c r="G69" s="5">
        <v>0</v>
      </c>
      <c r="H69" s="5">
        <v>2</v>
      </c>
      <c r="I69" s="5"/>
    </row>
    <row r="70" spans="1:9">
      <c r="A70" s="5"/>
      <c r="B70" s="4">
        <v>45672</v>
      </c>
      <c r="C70" s="5"/>
      <c r="D70" s="4" t="s">
        <v>10</v>
      </c>
      <c r="E70" s="5" t="s">
        <v>33</v>
      </c>
      <c r="F70" s="5">
        <v>300</v>
      </c>
      <c r="G70" s="5">
        <v>0</v>
      </c>
      <c r="H70" s="5">
        <v>1</v>
      </c>
      <c r="I70" s="5"/>
    </row>
    <row r="71" spans="1:9">
      <c r="A71" s="5"/>
      <c r="B71" s="4">
        <v>45679</v>
      </c>
      <c r="C71" s="5"/>
      <c r="D71" s="5" t="s">
        <v>29</v>
      </c>
      <c r="E71" s="5" t="s">
        <v>25</v>
      </c>
      <c r="F71" s="5">
        <v>740</v>
      </c>
      <c r="G71" s="5">
        <v>0</v>
      </c>
      <c r="H71" s="5">
        <v>6</v>
      </c>
      <c r="I71" s="5"/>
    </row>
    <row r="72" spans="1:9">
      <c r="A72" s="5"/>
      <c r="B72" s="4">
        <v>45679</v>
      </c>
      <c r="C72" s="5"/>
      <c r="D72" s="5" t="s">
        <v>20</v>
      </c>
      <c r="E72" s="5" t="s">
        <v>21</v>
      </c>
      <c r="F72" s="5">
        <v>820</v>
      </c>
      <c r="G72" s="5">
        <v>822</v>
      </c>
      <c r="H72" s="5">
        <v>8</v>
      </c>
      <c r="I72" s="5"/>
    </row>
    <row r="73" spans="1:9">
      <c r="A73" s="5"/>
      <c r="B73" s="4">
        <v>45679</v>
      </c>
      <c r="C73" s="5"/>
      <c r="D73" s="5" t="s">
        <v>26</v>
      </c>
      <c r="E73" s="5" t="s">
        <v>25</v>
      </c>
      <c r="F73" s="5">
        <v>886</v>
      </c>
      <c r="G73" s="5">
        <v>654</v>
      </c>
      <c r="H73" s="5">
        <v>8</v>
      </c>
      <c r="I73" s="5"/>
    </row>
    <row r="74" spans="1:9">
      <c r="A74" s="5"/>
      <c r="B74" s="4">
        <v>45679</v>
      </c>
      <c r="C74" s="5"/>
      <c r="D74" s="5" t="s">
        <v>27</v>
      </c>
      <c r="E74" s="5" t="s">
        <v>25</v>
      </c>
      <c r="F74" s="5">
        <v>880</v>
      </c>
      <c r="G74" s="5">
        <v>208</v>
      </c>
      <c r="H74" s="5">
        <v>7</v>
      </c>
      <c r="I74" s="5"/>
    </row>
    <row r="75" spans="1:9">
      <c r="A75" s="5"/>
      <c r="B75" s="4">
        <v>45679</v>
      </c>
      <c r="C75" s="5"/>
      <c r="D75" s="5" t="s">
        <v>28</v>
      </c>
      <c r="E75" s="5" t="s">
        <v>34</v>
      </c>
      <c r="F75" s="5">
        <v>950</v>
      </c>
      <c r="G75" s="5">
        <v>130</v>
      </c>
      <c r="H75" s="5">
        <v>8</v>
      </c>
      <c r="I75" s="5"/>
    </row>
    <row r="76" spans="1:9">
      <c r="A76" s="5"/>
      <c r="B76" s="4">
        <v>45679</v>
      </c>
      <c r="C76" s="5"/>
      <c r="D76" s="5" t="s">
        <v>35</v>
      </c>
      <c r="E76" s="5" t="s">
        <v>25</v>
      </c>
      <c r="F76" s="5">
        <v>1080</v>
      </c>
      <c r="G76" s="5">
        <v>740</v>
      </c>
      <c r="H76" s="5">
        <v>9</v>
      </c>
      <c r="I76" s="5"/>
    </row>
    <row r="77" spans="1:9">
      <c r="A77" s="5"/>
      <c r="B77" s="4">
        <v>45679</v>
      </c>
      <c r="C77" s="5"/>
      <c r="D77" s="5" t="s">
        <v>30</v>
      </c>
      <c r="E77" s="5" t="s">
        <v>25</v>
      </c>
      <c r="F77" s="5">
        <v>2732</v>
      </c>
      <c r="G77" s="5">
        <v>321</v>
      </c>
      <c r="H77" s="5">
        <v>22</v>
      </c>
      <c r="I77" s="5"/>
    </row>
    <row r="78" spans="1:9">
      <c r="A78" s="5"/>
      <c r="B78" s="4">
        <v>45679</v>
      </c>
      <c r="C78" s="5"/>
      <c r="D78" s="5" t="s">
        <v>36</v>
      </c>
      <c r="E78" s="5" t="s">
        <v>25</v>
      </c>
      <c r="F78" s="5">
        <v>840</v>
      </c>
      <c r="G78" s="5">
        <v>147</v>
      </c>
      <c r="H78" s="5">
        <v>6</v>
      </c>
      <c r="I78" s="5"/>
    </row>
    <row r="79" spans="1:9">
      <c r="A79" s="5"/>
      <c r="B79" s="4">
        <v>45679</v>
      </c>
      <c r="C79" s="5"/>
      <c r="D79" s="5" t="s">
        <v>37</v>
      </c>
      <c r="E79" s="5" t="s">
        <v>33</v>
      </c>
      <c r="F79" s="5">
        <v>440</v>
      </c>
      <c r="G79" s="5">
        <v>1240</v>
      </c>
      <c r="H79" s="5">
        <v>3</v>
      </c>
      <c r="I79" s="5"/>
    </row>
    <row r="80" spans="1:9">
      <c r="A80" s="5"/>
      <c r="B80" s="4">
        <v>45679</v>
      </c>
      <c r="C80" s="5"/>
      <c r="D80" s="5" t="s">
        <v>13</v>
      </c>
      <c r="E80" s="5"/>
      <c r="F80" s="5">
        <v>0</v>
      </c>
      <c r="G80" s="5">
        <v>0</v>
      </c>
      <c r="H80" s="5">
        <v>0</v>
      </c>
      <c r="I80" s="5"/>
    </row>
    <row r="81" spans="1:9">
      <c r="A81" s="5"/>
      <c r="B81" s="4">
        <v>45679</v>
      </c>
      <c r="C81" s="5"/>
      <c r="D81" s="5" t="s">
        <v>17</v>
      </c>
      <c r="E81" s="5" t="s">
        <v>34</v>
      </c>
      <c r="F81" s="5">
        <v>380</v>
      </c>
      <c r="G81" s="5">
        <v>180</v>
      </c>
      <c r="H81" s="5">
        <v>3</v>
      </c>
      <c r="I81" s="5"/>
    </row>
    <row r="82" spans="1:9">
      <c r="A82" s="5"/>
      <c r="B82" s="4">
        <v>45679</v>
      </c>
      <c r="C82" s="5"/>
      <c r="D82" s="5" t="s">
        <v>19</v>
      </c>
      <c r="E82" s="5" t="s">
        <v>23</v>
      </c>
      <c r="F82" s="5">
        <v>1880</v>
      </c>
      <c r="G82" s="5">
        <v>2480</v>
      </c>
      <c r="H82" s="5">
        <v>10</v>
      </c>
      <c r="I82" s="5"/>
    </row>
    <row r="83" spans="1:9">
      <c r="A83" s="5"/>
      <c r="B83" s="4">
        <v>45679</v>
      </c>
      <c r="C83" s="5"/>
      <c r="D83" s="5" t="s">
        <v>31</v>
      </c>
      <c r="E83" s="5" t="s">
        <v>34</v>
      </c>
      <c r="F83" s="5">
        <v>840</v>
      </c>
      <c r="G83" s="5">
        <v>80</v>
      </c>
      <c r="H83" s="5">
        <v>5</v>
      </c>
      <c r="I83" s="5"/>
    </row>
    <row r="84" spans="1:9">
      <c r="A84" s="5"/>
      <c r="B84" s="4">
        <v>45679</v>
      </c>
      <c r="C84" s="5" t="s">
        <v>38</v>
      </c>
      <c r="D84" s="5" t="s">
        <v>19</v>
      </c>
      <c r="E84" s="5" t="s">
        <v>34</v>
      </c>
      <c r="F84" s="5">
        <v>1240</v>
      </c>
      <c r="G84" s="5">
        <v>420</v>
      </c>
      <c r="H84" s="5">
        <v>8</v>
      </c>
      <c r="I84" s="5"/>
    </row>
    <row r="85" spans="1:9">
      <c r="A85" s="5"/>
      <c r="B85" s="4">
        <v>45679</v>
      </c>
      <c r="C85" s="5" t="s">
        <v>9</v>
      </c>
      <c r="D85" s="5" t="s">
        <v>10</v>
      </c>
      <c r="E85" s="5" t="s">
        <v>34</v>
      </c>
      <c r="F85" s="5">
        <v>1840</v>
      </c>
      <c r="G85" s="5">
        <v>0</v>
      </c>
      <c r="H85" s="5">
        <v>17</v>
      </c>
      <c r="I85" s="5"/>
    </row>
    <row r="86" spans="1:9">
      <c r="A86" s="5"/>
      <c r="B86" s="4">
        <v>45679</v>
      </c>
      <c r="C86" s="5"/>
      <c r="D86" s="5" t="s">
        <v>10</v>
      </c>
      <c r="E86" s="5" t="s">
        <v>21</v>
      </c>
      <c r="F86" s="5">
        <v>128</v>
      </c>
      <c r="G86" s="5">
        <v>282</v>
      </c>
      <c r="H86" s="5">
        <v>1</v>
      </c>
      <c r="I86" s="5"/>
    </row>
    <row r="87" spans="1:9">
      <c r="A87" s="5"/>
      <c r="B87" s="4">
        <v>45679</v>
      </c>
      <c r="C87" s="5"/>
      <c r="D87" s="5" t="s">
        <v>10</v>
      </c>
      <c r="E87" s="5" t="s">
        <v>23</v>
      </c>
      <c r="F87" s="5">
        <v>210</v>
      </c>
      <c r="G87" s="5">
        <v>330</v>
      </c>
      <c r="H87" s="5">
        <v>2</v>
      </c>
      <c r="I87" s="5"/>
    </row>
    <row r="88" spans="1:9">
      <c r="A88" s="5"/>
      <c r="B88" s="4">
        <v>45679</v>
      </c>
      <c r="C88" s="5"/>
      <c r="D88" s="5" t="s">
        <v>10</v>
      </c>
      <c r="E88" s="5" t="s">
        <v>33</v>
      </c>
      <c r="F88" s="5">
        <v>220</v>
      </c>
      <c r="G88" s="5">
        <v>300</v>
      </c>
      <c r="H88" s="5">
        <v>2</v>
      </c>
      <c r="I88" s="5"/>
    </row>
    <row r="89" spans="1:9">
      <c r="A89" s="5"/>
      <c r="B89" s="4">
        <v>45679</v>
      </c>
      <c r="C89" s="5" t="s">
        <v>39</v>
      </c>
      <c r="D89" s="5" t="s">
        <v>10</v>
      </c>
      <c r="E89" s="5" t="s">
        <v>34</v>
      </c>
      <c r="F89" s="5">
        <v>2840</v>
      </c>
      <c r="G89" s="5">
        <v>1020</v>
      </c>
      <c r="H89" s="5">
        <v>26</v>
      </c>
      <c r="I89" s="5"/>
    </row>
    <row r="90" spans="1:9">
      <c r="A90" s="5"/>
      <c r="B90" s="4">
        <v>45679</v>
      </c>
      <c r="C90" s="5"/>
      <c r="D90" s="5" t="s">
        <v>31</v>
      </c>
      <c r="E90" s="5" t="s">
        <v>25</v>
      </c>
      <c r="F90" s="5">
        <v>1620</v>
      </c>
      <c r="G90" s="5">
        <v>450</v>
      </c>
      <c r="H90" s="5">
        <v>0</v>
      </c>
      <c r="I90" s="5"/>
    </row>
    <row r="91" spans="1:9">
      <c r="A91" s="5"/>
      <c r="B91" s="4">
        <v>45684</v>
      </c>
      <c r="C91" s="5"/>
      <c r="D91" s="5" t="s">
        <v>29</v>
      </c>
      <c r="E91" s="5" t="s">
        <v>25</v>
      </c>
      <c r="F91" s="5">
        <v>880</v>
      </c>
      <c r="G91" s="5">
        <v>94</v>
      </c>
      <c r="H91" s="5">
        <v>7</v>
      </c>
      <c r="I91" s="5"/>
    </row>
    <row r="92" spans="1:9">
      <c r="A92" s="5"/>
      <c r="B92" s="4">
        <v>45684</v>
      </c>
      <c r="C92" s="5"/>
      <c r="D92" s="5" t="s">
        <v>20</v>
      </c>
      <c r="E92" s="5" t="s">
        <v>21</v>
      </c>
      <c r="F92" s="5">
        <v>1880</v>
      </c>
      <c r="G92" s="5">
        <v>665</v>
      </c>
      <c r="H92" s="5">
        <v>9</v>
      </c>
      <c r="I92" s="5"/>
    </row>
    <row r="93" spans="1:9">
      <c r="A93" s="5"/>
      <c r="B93" s="4">
        <v>45684</v>
      </c>
      <c r="C93" s="5"/>
      <c r="D93" s="5" t="s">
        <v>26</v>
      </c>
      <c r="E93" s="5" t="s">
        <v>25</v>
      </c>
      <c r="F93" s="5">
        <v>1080</v>
      </c>
      <c r="G93" s="5">
        <v>430</v>
      </c>
      <c r="H93" s="5">
        <v>5</v>
      </c>
      <c r="I93" s="5"/>
    </row>
    <row r="94" spans="1:9">
      <c r="A94" s="5"/>
      <c r="B94" s="4">
        <v>45684</v>
      </c>
      <c r="C94" s="5"/>
      <c r="D94" s="5" t="s">
        <v>27</v>
      </c>
      <c r="E94" s="5" t="s">
        <v>25</v>
      </c>
      <c r="F94" s="5">
        <v>1480</v>
      </c>
      <c r="G94" s="5">
        <v>0</v>
      </c>
      <c r="H94" s="5">
        <v>12</v>
      </c>
      <c r="I94" s="5"/>
    </row>
    <row r="95" spans="1:9">
      <c r="A95" s="5"/>
      <c r="B95" s="4">
        <v>45684</v>
      </c>
      <c r="C95" s="5"/>
      <c r="D95" s="5" t="s">
        <v>32</v>
      </c>
      <c r="E95" s="5" t="s">
        <v>40</v>
      </c>
      <c r="F95" s="5">
        <v>1820</v>
      </c>
      <c r="G95" s="5">
        <v>158</v>
      </c>
      <c r="H95" s="5">
        <v>15</v>
      </c>
      <c r="I95" s="5"/>
    </row>
    <row r="96" spans="1:9">
      <c r="A96" s="5"/>
      <c r="B96" s="4">
        <v>45684</v>
      </c>
      <c r="C96" s="5"/>
      <c r="D96" s="5" t="s">
        <v>28</v>
      </c>
      <c r="E96" s="5" t="s">
        <v>34</v>
      </c>
      <c r="F96" s="5">
        <v>810</v>
      </c>
      <c r="G96" s="5">
        <v>660</v>
      </c>
      <c r="H96" s="5">
        <v>6</v>
      </c>
      <c r="I96" s="5"/>
    </row>
    <row r="97" spans="1:9">
      <c r="A97" s="5"/>
      <c r="B97" s="4">
        <v>45684</v>
      </c>
      <c r="C97" s="5"/>
      <c r="D97" s="5" t="s">
        <v>35</v>
      </c>
      <c r="E97" s="5" t="s">
        <v>25</v>
      </c>
      <c r="F97" s="5">
        <v>600</v>
      </c>
      <c r="G97" s="5">
        <v>90</v>
      </c>
      <c r="H97" s="5">
        <v>5</v>
      </c>
      <c r="I97" s="5"/>
    </row>
    <row r="98" spans="1:9">
      <c r="A98" s="5"/>
      <c r="B98" s="4">
        <v>45684</v>
      </c>
      <c r="C98" s="5"/>
      <c r="D98" s="5" t="s">
        <v>30</v>
      </c>
      <c r="E98" s="5" t="s">
        <v>25</v>
      </c>
      <c r="F98" s="5">
        <v>2500</v>
      </c>
      <c r="G98" s="5">
        <v>760</v>
      </c>
      <c r="H98" s="5">
        <v>16</v>
      </c>
      <c r="I98" s="5"/>
    </row>
    <row r="99" spans="1:9">
      <c r="A99" s="5"/>
      <c r="B99" s="4">
        <v>45684</v>
      </c>
      <c r="C99" s="5"/>
      <c r="D99" s="5" t="s">
        <v>36</v>
      </c>
      <c r="E99" s="5" t="s">
        <v>25</v>
      </c>
      <c r="F99" s="5">
        <v>820</v>
      </c>
      <c r="G99" s="5">
        <v>747</v>
      </c>
      <c r="H99" s="5">
        <v>8</v>
      </c>
      <c r="I99" s="5"/>
    </row>
    <row r="100" spans="1:9">
      <c r="A100" s="5"/>
      <c r="B100" s="4">
        <v>45684</v>
      </c>
      <c r="C100" s="5"/>
      <c r="D100" s="5" t="s">
        <v>37</v>
      </c>
      <c r="E100" s="5" t="s">
        <v>40</v>
      </c>
      <c r="F100" s="5">
        <v>260</v>
      </c>
      <c r="G100" s="5">
        <v>110</v>
      </c>
      <c r="H100" s="5">
        <v>1</v>
      </c>
      <c r="I100" s="5"/>
    </row>
    <row r="101" spans="1:9">
      <c r="A101" s="5"/>
      <c r="B101" s="4">
        <v>45684</v>
      </c>
      <c r="C101" s="5"/>
      <c r="D101" s="5" t="s">
        <v>13</v>
      </c>
      <c r="E101" s="5" t="s">
        <v>25</v>
      </c>
      <c r="F101" s="5">
        <v>0</v>
      </c>
      <c r="G101" s="5">
        <v>0</v>
      </c>
      <c r="H101" s="5">
        <v>0</v>
      </c>
      <c r="I101" s="5"/>
    </row>
    <row r="102" spans="1:9">
      <c r="A102" s="5"/>
      <c r="B102" s="4">
        <v>45684</v>
      </c>
      <c r="C102" s="5"/>
      <c r="D102" s="5" t="s">
        <v>17</v>
      </c>
      <c r="E102" s="5" t="s">
        <v>34</v>
      </c>
      <c r="F102" s="5">
        <v>480</v>
      </c>
      <c r="G102" s="5">
        <v>100</v>
      </c>
      <c r="H102" s="5">
        <v>3</v>
      </c>
      <c r="I102" s="5"/>
    </row>
    <row r="103" spans="1:9">
      <c r="A103" s="5"/>
      <c r="B103" s="4">
        <v>45684</v>
      </c>
      <c r="C103" s="5"/>
      <c r="D103" s="5" t="s">
        <v>19</v>
      </c>
      <c r="E103" s="5" t="s">
        <v>23</v>
      </c>
      <c r="F103" s="5">
        <v>2036</v>
      </c>
      <c r="G103" s="5">
        <v>435</v>
      </c>
      <c r="H103" s="5">
        <v>15</v>
      </c>
      <c r="I103" s="5"/>
    </row>
    <row r="104" spans="1:9">
      <c r="A104" s="5"/>
      <c r="B104" s="4">
        <v>45684</v>
      </c>
      <c r="C104" s="5"/>
      <c r="D104" s="5" t="s">
        <v>31</v>
      </c>
      <c r="E104" s="5" t="s">
        <v>34</v>
      </c>
      <c r="F104" s="5">
        <v>460</v>
      </c>
      <c r="G104" s="5">
        <v>440</v>
      </c>
      <c r="H104" s="5">
        <v>4</v>
      </c>
      <c r="I104" s="5"/>
    </row>
    <row r="105" spans="1:9">
      <c r="A105" s="5"/>
      <c r="B105" s="4">
        <v>45684</v>
      </c>
      <c r="C105" s="5"/>
      <c r="D105" s="5" t="s">
        <v>19</v>
      </c>
      <c r="E105" s="5" t="s">
        <v>34</v>
      </c>
      <c r="F105" s="5">
        <v>1800</v>
      </c>
      <c r="G105" s="5">
        <v>0</v>
      </c>
      <c r="H105" s="5">
        <v>8</v>
      </c>
      <c r="I105" s="5"/>
    </row>
    <row r="106" spans="1:9">
      <c r="A106" s="5"/>
      <c r="B106" s="4">
        <v>45684</v>
      </c>
      <c r="C106" s="5"/>
      <c r="D106" s="5" t="s">
        <v>10</v>
      </c>
      <c r="E106" s="5" t="s">
        <v>34</v>
      </c>
      <c r="F106" s="5">
        <v>2740</v>
      </c>
      <c r="G106" s="5">
        <v>470</v>
      </c>
      <c r="H106" s="5">
        <v>22</v>
      </c>
      <c r="I106" s="5"/>
    </row>
    <row r="107" spans="1:9">
      <c r="A107" s="5"/>
      <c r="B107" s="4">
        <v>45684</v>
      </c>
      <c r="C107" s="5"/>
      <c r="D107" s="5" t="s">
        <v>41</v>
      </c>
      <c r="E107" s="5" t="s">
        <v>25</v>
      </c>
      <c r="F107" s="5">
        <v>740</v>
      </c>
      <c r="G107" s="5">
        <v>300</v>
      </c>
      <c r="H107" s="5">
        <v>4</v>
      </c>
      <c r="I107" s="5"/>
    </row>
    <row r="108" spans="1:9">
      <c r="A108" s="5"/>
      <c r="B108" s="4">
        <v>45684</v>
      </c>
      <c r="C108" s="5"/>
      <c r="D108" s="5" t="s">
        <v>10</v>
      </c>
      <c r="E108" s="5" t="s">
        <v>34</v>
      </c>
      <c r="F108" s="5">
        <v>2160</v>
      </c>
      <c r="G108" s="5">
        <v>500</v>
      </c>
      <c r="H108" s="5">
        <v>15</v>
      </c>
      <c r="I108" s="5"/>
    </row>
    <row r="109" spans="1:9">
      <c r="A109" s="5"/>
      <c r="B109" s="4">
        <v>45684</v>
      </c>
      <c r="C109" s="5"/>
      <c r="D109" s="5" t="s">
        <v>10</v>
      </c>
      <c r="E109" s="5" t="s">
        <v>21</v>
      </c>
      <c r="F109" s="5">
        <v>300</v>
      </c>
      <c r="G109" s="5">
        <v>90</v>
      </c>
      <c r="H109" s="5">
        <v>2</v>
      </c>
      <c r="I109" s="5"/>
    </row>
    <row r="110" spans="1:9">
      <c r="A110" s="5"/>
      <c r="B110" s="4">
        <v>45684</v>
      </c>
      <c r="C110" s="5"/>
      <c r="D110" s="5" t="s">
        <v>10</v>
      </c>
      <c r="E110" s="5" t="s">
        <v>23</v>
      </c>
      <c r="F110" s="5">
        <v>220</v>
      </c>
      <c r="G110" s="5">
        <v>120</v>
      </c>
      <c r="H110" s="5">
        <v>1</v>
      </c>
      <c r="I110" s="5"/>
    </row>
    <row r="111" spans="1:9">
      <c r="A111" s="5"/>
      <c r="B111" s="4">
        <v>45684</v>
      </c>
      <c r="C111" s="5"/>
      <c r="D111" s="5" t="s">
        <v>10</v>
      </c>
      <c r="E111" s="5" t="s">
        <v>40</v>
      </c>
      <c r="F111" s="5">
        <v>180</v>
      </c>
      <c r="G111" s="5">
        <v>60</v>
      </c>
      <c r="H111" s="5">
        <v>1</v>
      </c>
      <c r="I111" s="5"/>
    </row>
    <row r="112" spans="1:9">
      <c r="A112" s="5"/>
      <c r="B112" s="4">
        <v>45691</v>
      </c>
      <c r="C112" s="5"/>
      <c r="D112" s="5" t="s">
        <v>29</v>
      </c>
      <c r="E112" s="5" t="s">
        <v>25</v>
      </c>
      <c r="F112" s="5">
        <v>300</v>
      </c>
      <c r="G112" s="5">
        <v>240</v>
      </c>
      <c r="H112" s="5">
        <v>3</v>
      </c>
      <c r="I112" s="5"/>
    </row>
    <row r="113" spans="1:10">
      <c r="A113" s="5"/>
      <c r="B113" s="4">
        <v>45691</v>
      </c>
      <c r="C113" s="5"/>
      <c r="D113" s="5" t="s">
        <v>20</v>
      </c>
      <c r="E113" s="5" t="s">
        <v>21</v>
      </c>
      <c r="F113" s="5">
        <v>400</v>
      </c>
      <c r="G113" s="5">
        <v>920</v>
      </c>
      <c r="H113" s="5">
        <v>4</v>
      </c>
      <c r="I113" s="5"/>
    </row>
    <row r="114" spans="1:10">
      <c r="A114" s="5"/>
      <c r="B114" s="4">
        <v>45691</v>
      </c>
      <c r="C114" s="5"/>
      <c r="D114" s="5" t="s">
        <v>26</v>
      </c>
      <c r="E114" s="5" t="s">
        <v>25</v>
      </c>
      <c r="F114" s="5">
        <v>160</v>
      </c>
      <c r="G114" s="5">
        <v>380</v>
      </c>
      <c r="H114" s="5">
        <v>1</v>
      </c>
      <c r="I114" s="5"/>
    </row>
    <row r="115" spans="1:10">
      <c r="A115" s="5"/>
      <c r="B115" s="4">
        <v>45691</v>
      </c>
      <c r="C115" s="5"/>
      <c r="D115" s="5" t="s">
        <v>27</v>
      </c>
      <c r="E115" s="5" t="s">
        <v>25</v>
      </c>
      <c r="F115" s="5">
        <v>780</v>
      </c>
      <c r="G115" s="5">
        <v>260</v>
      </c>
      <c r="H115" s="5">
        <v>7</v>
      </c>
      <c r="I115" s="5"/>
      <c r="J115" s="5"/>
    </row>
    <row r="116" spans="1:10">
      <c r="A116" s="5"/>
      <c r="B116" s="4">
        <v>45691</v>
      </c>
      <c r="C116" s="5"/>
      <c r="D116" s="5" t="s">
        <v>32</v>
      </c>
      <c r="E116" s="5" t="s">
        <v>40</v>
      </c>
      <c r="F116" s="5">
        <v>1680</v>
      </c>
      <c r="G116" s="5">
        <v>1540</v>
      </c>
      <c r="H116" s="5">
        <v>12</v>
      </c>
      <c r="I116" s="5"/>
      <c r="J116" s="5"/>
    </row>
    <row r="117" spans="1:10">
      <c r="A117" s="5"/>
      <c r="B117" s="4">
        <v>45691</v>
      </c>
      <c r="C117" s="5"/>
      <c r="D117" s="5" t="s">
        <v>28</v>
      </c>
      <c r="E117" s="5" t="s">
        <v>34</v>
      </c>
      <c r="F117" s="5">
        <v>330</v>
      </c>
      <c r="G117" s="5">
        <v>190</v>
      </c>
      <c r="H117" s="5">
        <v>3</v>
      </c>
      <c r="I117" s="5"/>
      <c r="J117" s="5"/>
    </row>
    <row r="118" spans="1:10">
      <c r="A118" s="5"/>
      <c r="B118" s="4">
        <v>45691</v>
      </c>
      <c r="C118" s="5"/>
      <c r="D118" s="5" t="s">
        <v>35</v>
      </c>
      <c r="E118" s="5" t="s">
        <v>25</v>
      </c>
      <c r="F118" s="5">
        <v>730</v>
      </c>
      <c r="G118" s="5">
        <v>390</v>
      </c>
      <c r="H118" s="5">
        <v>5</v>
      </c>
      <c r="I118" s="5"/>
      <c r="J118" s="5"/>
    </row>
    <row r="119" spans="1:10">
      <c r="A119" s="5"/>
      <c r="B119" s="4">
        <v>45691</v>
      </c>
      <c r="C119" s="5"/>
      <c r="D119" s="5" t="s">
        <v>30</v>
      </c>
      <c r="E119" s="5" t="s">
        <v>25</v>
      </c>
      <c r="F119" s="5">
        <v>1960</v>
      </c>
      <c r="G119" s="5">
        <v>880</v>
      </c>
      <c r="H119" s="5">
        <v>18</v>
      </c>
      <c r="I119" s="5"/>
      <c r="J119" s="5"/>
    </row>
    <row r="120" spans="1:10">
      <c r="A120" s="5"/>
      <c r="B120" s="4">
        <v>45691</v>
      </c>
      <c r="C120" s="5"/>
      <c r="D120" s="5" t="s">
        <v>36</v>
      </c>
      <c r="E120" s="5" t="s">
        <v>25</v>
      </c>
      <c r="F120" s="5">
        <v>114</v>
      </c>
      <c r="G120" s="5">
        <v>366</v>
      </c>
      <c r="H120" s="5">
        <v>1</v>
      </c>
      <c r="I120" s="5"/>
      <c r="J120" s="5"/>
    </row>
    <row r="121" spans="1:10">
      <c r="A121" s="5"/>
      <c r="B121" s="4">
        <v>45691</v>
      </c>
      <c r="C121" s="5"/>
      <c r="D121" s="5" t="s">
        <v>37</v>
      </c>
      <c r="E121" s="5" t="s">
        <v>40</v>
      </c>
      <c r="F121" s="5">
        <v>868</v>
      </c>
      <c r="G121" s="5">
        <v>712</v>
      </c>
      <c r="H121" s="5">
        <v>7</v>
      </c>
      <c r="I121" s="5"/>
      <c r="J121" s="5"/>
    </row>
    <row r="122" spans="1:10">
      <c r="A122" s="5"/>
      <c r="B122" s="4">
        <v>45691</v>
      </c>
      <c r="C122" s="5"/>
      <c r="D122" s="5" t="s">
        <v>13</v>
      </c>
      <c r="E122" s="5" t="s">
        <v>25</v>
      </c>
      <c r="F122" s="5">
        <v>500</v>
      </c>
      <c r="G122" s="5">
        <v>320</v>
      </c>
      <c r="H122" s="5">
        <v>0</v>
      </c>
      <c r="I122" s="5"/>
      <c r="J122" s="5"/>
    </row>
    <row r="123" spans="1:10">
      <c r="A123" s="5"/>
      <c r="B123" s="4">
        <v>45691</v>
      </c>
      <c r="C123" s="5"/>
      <c r="D123" s="5" t="s">
        <v>17</v>
      </c>
      <c r="E123" s="5" t="s">
        <v>34</v>
      </c>
      <c r="F123" s="5">
        <v>420</v>
      </c>
      <c r="G123" s="5">
        <v>260</v>
      </c>
      <c r="H123" s="5">
        <v>4</v>
      </c>
      <c r="I123" s="5"/>
      <c r="J123" s="5"/>
    </row>
    <row r="124" spans="1:10">
      <c r="A124" s="5"/>
      <c r="B124" s="4">
        <v>45691</v>
      </c>
      <c r="C124" s="5"/>
      <c r="D124" s="5" t="s">
        <v>19</v>
      </c>
      <c r="E124" s="5" t="s">
        <v>23</v>
      </c>
      <c r="F124" s="5">
        <v>1990</v>
      </c>
      <c r="G124" s="5">
        <v>1250</v>
      </c>
      <c r="H124" s="5">
        <v>17</v>
      </c>
      <c r="I124" s="5"/>
      <c r="J124" s="5"/>
    </row>
    <row r="125" spans="1:10">
      <c r="A125" s="5"/>
      <c r="B125" s="4">
        <v>45691</v>
      </c>
      <c r="C125" s="5"/>
      <c r="D125" s="5" t="s">
        <v>31</v>
      </c>
      <c r="E125" s="5" t="s">
        <v>34</v>
      </c>
      <c r="F125" s="5">
        <v>0</v>
      </c>
      <c r="G125" s="5">
        <v>0</v>
      </c>
      <c r="H125" s="5">
        <v>0</v>
      </c>
      <c r="I125" s="5"/>
      <c r="J125" s="5"/>
    </row>
    <row r="126" spans="1:10">
      <c r="A126" s="5"/>
      <c r="B126" s="4">
        <v>45691</v>
      </c>
      <c r="C126" s="5"/>
      <c r="D126" s="5" t="s">
        <v>19</v>
      </c>
      <c r="E126" s="5" t="s">
        <v>34</v>
      </c>
      <c r="F126" s="5">
        <v>2300</v>
      </c>
      <c r="G126" s="5">
        <v>2707</v>
      </c>
      <c r="H126" s="5">
        <v>23</v>
      </c>
      <c r="I126" s="5"/>
      <c r="J126" s="5"/>
    </row>
    <row r="127" spans="1:10">
      <c r="A127" s="5"/>
      <c r="B127" s="4">
        <v>45691</v>
      </c>
      <c r="C127" s="5"/>
      <c r="D127" s="5" t="s">
        <v>10</v>
      </c>
      <c r="E127" s="5" t="s">
        <v>34</v>
      </c>
      <c r="F127" s="5">
        <v>1468</v>
      </c>
      <c r="G127" s="5">
        <v>332</v>
      </c>
      <c r="H127" s="5">
        <v>12</v>
      </c>
      <c r="I127" s="5"/>
      <c r="J127" s="5"/>
    </row>
    <row r="128" spans="1:10">
      <c r="A128" s="5"/>
      <c r="B128" s="4">
        <v>45691</v>
      </c>
      <c r="C128" s="5"/>
      <c r="D128" s="5" t="s">
        <v>41</v>
      </c>
      <c r="E128" s="5" t="s">
        <v>25</v>
      </c>
      <c r="F128" s="5">
        <v>0</v>
      </c>
      <c r="G128" s="5">
        <v>0</v>
      </c>
      <c r="H128" s="5">
        <v>0</v>
      </c>
      <c r="I128" s="5"/>
      <c r="J128" s="5"/>
    </row>
    <row r="129" spans="1:10">
      <c r="A129" s="5"/>
      <c r="B129" s="4">
        <v>45691</v>
      </c>
      <c r="C129" s="5"/>
      <c r="D129" s="5" t="s">
        <v>10</v>
      </c>
      <c r="E129" s="5" t="s">
        <v>34</v>
      </c>
      <c r="F129" s="5">
        <v>3480</v>
      </c>
      <c r="G129" s="5">
        <v>460</v>
      </c>
      <c r="H129" s="5">
        <v>32</v>
      </c>
      <c r="I129" s="5"/>
      <c r="J129" s="5"/>
    </row>
    <row r="130" spans="1:10">
      <c r="A130" s="5"/>
      <c r="B130" s="4">
        <v>45691</v>
      </c>
      <c r="C130" s="5"/>
      <c r="D130" s="5" t="s">
        <v>10</v>
      </c>
      <c r="E130" s="5" t="s">
        <v>21</v>
      </c>
      <c r="F130" s="5">
        <v>260</v>
      </c>
      <c r="G130" s="5">
        <v>40</v>
      </c>
      <c r="H130" s="5">
        <v>2</v>
      </c>
      <c r="I130" s="5"/>
      <c r="J130" s="5"/>
    </row>
    <row r="131" spans="1:10">
      <c r="A131" s="5"/>
      <c r="B131" s="4">
        <v>45691</v>
      </c>
      <c r="C131" s="5"/>
      <c r="D131" s="5" t="s">
        <v>10</v>
      </c>
      <c r="E131" s="5" t="s">
        <v>23</v>
      </c>
      <c r="F131" s="5">
        <v>260</v>
      </c>
      <c r="G131" s="5">
        <v>60</v>
      </c>
      <c r="H131" s="5">
        <v>1</v>
      </c>
      <c r="I131" s="5"/>
      <c r="J131" s="5"/>
    </row>
    <row r="132" spans="1:10">
      <c r="A132" s="5"/>
      <c r="B132" s="4">
        <v>45691</v>
      </c>
      <c r="C132" s="5"/>
      <c r="D132" s="5" t="s">
        <v>10</v>
      </c>
      <c r="E132" s="5" t="s">
        <v>40</v>
      </c>
      <c r="F132" s="5">
        <v>120</v>
      </c>
      <c r="G132" s="5">
        <v>60</v>
      </c>
      <c r="H132" s="5">
        <v>1</v>
      </c>
      <c r="I132" s="5"/>
      <c r="J132" s="5"/>
    </row>
    <row r="133" spans="1:10">
      <c r="A133" s="5"/>
      <c r="B133" s="4">
        <v>45698</v>
      </c>
      <c r="C133" s="5"/>
      <c r="D133" s="5" t="s">
        <v>29</v>
      </c>
      <c r="E133" s="5" t="s">
        <v>25</v>
      </c>
      <c r="F133" s="5">
        <v>320</v>
      </c>
      <c r="G133" s="5">
        <v>180</v>
      </c>
      <c r="H133" s="5">
        <v>3</v>
      </c>
      <c r="I133" s="5"/>
      <c r="J133" s="5"/>
    </row>
    <row r="134" spans="1:10">
      <c r="A134" s="5"/>
      <c r="B134" s="4">
        <v>45698</v>
      </c>
      <c r="C134" s="5"/>
      <c r="D134" s="5" t="s">
        <v>20</v>
      </c>
      <c r="E134" s="5" t="s">
        <v>21</v>
      </c>
      <c r="F134" s="5">
        <v>580</v>
      </c>
      <c r="G134" s="5">
        <v>180</v>
      </c>
      <c r="H134" s="5">
        <v>5</v>
      </c>
      <c r="I134" s="5"/>
      <c r="J134" s="5"/>
    </row>
    <row r="135" spans="1:10">
      <c r="A135" s="5"/>
      <c r="B135" s="4">
        <v>45698</v>
      </c>
      <c r="C135" s="5"/>
      <c r="D135" s="5" t="s">
        <v>26</v>
      </c>
      <c r="E135" s="5" t="s">
        <v>25</v>
      </c>
      <c r="F135" s="5">
        <v>220</v>
      </c>
      <c r="G135" s="5">
        <v>180</v>
      </c>
      <c r="H135" s="5">
        <v>2</v>
      </c>
      <c r="I135" s="5"/>
      <c r="J135" s="5"/>
    </row>
    <row r="136" spans="1:10">
      <c r="A136" s="5"/>
      <c r="B136" s="4">
        <v>45698</v>
      </c>
      <c r="C136" s="5"/>
      <c r="D136" s="5" t="s">
        <v>27</v>
      </c>
      <c r="E136" s="5" t="s">
        <v>25</v>
      </c>
      <c r="F136" s="5">
        <v>520</v>
      </c>
      <c r="G136" s="5">
        <v>120</v>
      </c>
      <c r="H136" s="5">
        <v>5</v>
      </c>
      <c r="I136" s="5"/>
      <c r="J136" s="5"/>
    </row>
    <row r="137" spans="1:10">
      <c r="A137" s="5"/>
      <c r="B137" s="4">
        <v>45698</v>
      </c>
      <c r="C137" s="5"/>
      <c r="D137" s="5" t="s">
        <v>32</v>
      </c>
      <c r="E137" s="5" t="s">
        <v>40</v>
      </c>
      <c r="F137" s="5">
        <v>1200</v>
      </c>
      <c r="G137" s="5">
        <v>1640</v>
      </c>
      <c r="H137" s="5">
        <v>11</v>
      </c>
      <c r="I137" s="5"/>
      <c r="J137" s="5"/>
    </row>
    <row r="138" spans="1:10">
      <c r="A138" s="5"/>
      <c r="B138" s="4">
        <v>45698</v>
      </c>
      <c r="C138" s="5"/>
      <c r="D138" s="5" t="s">
        <v>28</v>
      </c>
      <c r="E138" s="5" t="s">
        <v>34</v>
      </c>
      <c r="F138" s="5">
        <v>850</v>
      </c>
      <c r="G138" s="5">
        <v>230</v>
      </c>
      <c r="H138" s="5">
        <v>4</v>
      </c>
      <c r="I138" s="5"/>
      <c r="J138" s="5"/>
    </row>
    <row r="139" spans="1:10">
      <c r="A139" s="5"/>
      <c r="B139" s="4">
        <v>45698</v>
      </c>
      <c r="C139" s="5"/>
      <c r="D139" s="5" t="s">
        <v>35</v>
      </c>
      <c r="E139" s="5" t="s">
        <v>25</v>
      </c>
      <c r="F139" s="5">
        <v>510</v>
      </c>
      <c r="G139" s="5">
        <v>90</v>
      </c>
      <c r="H139" s="5">
        <v>5</v>
      </c>
      <c r="I139" s="5"/>
      <c r="J139" s="5"/>
    </row>
    <row r="140" spans="1:10">
      <c r="A140" s="5"/>
      <c r="B140" s="4">
        <v>45698</v>
      </c>
      <c r="C140" s="5"/>
      <c r="D140" s="5" t="s">
        <v>30</v>
      </c>
      <c r="E140" s="5" t="s">
        <v>25</v>
      </c>
      <c r="F140" s="5">
        <v>2440</v>
      </c>
      <c r="G140" s="5">
        <v>340</v>
      </c>
      <c r="H140" s="5">
        <v>16</v>
      </c>
      <c r="I140" s="5"/>
      <c r="J140" s="5"/>
    </row>
    <row r="141" spans="1:10">
      <c r="A141" s="5"/>
      <c r="B141" s="4">
        <v>45698</v>
      </c>
      <c r="C141" s="5"/>
      <c r="D141" s="5" t="s">
        <v>36</v>
      </c>
      <c r="E141" s="5" t="s">
        <v>25</v>
      </c>
      <c r="F141" s="5">
        <v>550</v>
      </c>
      <c r="G141" s="5">
        <v>230</v>
      </c>
      <c r="H141" s="5">
        <v>5</v>
      </c>
      <c r="I141" s="5"/>
      <c r="J141" s="5"/>
    </row>
    <row r="142" spans="1:10">
      <c r="A142" s="5"/>
      <c r="B142" s="4">
        <v>45698</v>
      </c>
      <c r="C142" s="5"/>
      <c r="D142" s="5" t="s">
        <v>37</v>
      </c>
      <c r="E142" s="5" t="s">
        <v>40</v>
      </c>
      <c r="F142" s="5">
        <v>1370</v>
      </c>
      <c r="G142" s="5">
        <v>1430</v>
      </c>
      <c r="H142" s="5">
        <v>11</v>
      </c>
      <c r="I142" s="5"/>
      <c r="J142" s="5"/>
    </row>
    <row r="143" spans="1:10">
      <c r="A143" s="5"/>
      <c r="B143" s="4">
        <v>45698</v>
      </c>
      <c r="C143" s="5"/>
      <c r="D143" s="5" t="s">
        <v>13</v>
      </c>
      <c r="E143" s="5" t="s">
        <v>25</v>
      </c>
      <c r="F143" s="5">
        <v>0</v>
      </c>
      <c r="G143" s="5">
        <v>0</v>
      </c>
      <c r="H143" s="5">
        <v>0</v>
      </c>
      <c r="I143" s="5"/>
      <c r="J143" s="5"/>
    </row>
    <row r="144" spans="1:10">
      <c r="A144" s="5"/>
      <c r="B144" s="4">
        <v>45698</v>
      </c>
      <c r="C144" s="5"/>
      <c r="D144" s="5" t="s">
        <v>17</v>
      </c>
      <c r="E144" s="5" t="s">
        <v>34</v>
      </c>
      <c r="F144" s="5">
        <v>495</v>
      </c>
      <c r="G144" s="5">
        <v>125</v>
      </c>
      <c r="H144" s="5">
        <v>3</v>
      </c>
      <c r="I144" s="5"/>
      <c r="J144" s="5"/>
    </row>
    <row r="145" spans="1:10">
      <c r="A145" s="5"/>
      <c r="B145" s="4">
        <v>45698</v>
      </c>
      <c r="C145" s="5"/>
      <c r="D145" s="5" t="s">
        <v>19</v>
      </c>
      <c r="E145" s="5" t="s">
        <v>23</v>
      </c>
      <c r="F145" s="5">
        <v>1990</v>
      </c>
      <c r="G145" s="5">
        <v>1350</v>
      </c>
      <c r="H145" s="5">
        <v>17</v>
      </c>
      <c r="I145" s="5"/>
      <c r="J145" s="5"/>
    </row>
    <row r="146" spans="1:10">
      <c r="A146" s="5"/>
      <c r="B146" s="4">
        <v>45698</v>
      </c>
      <c r="C146" s="5"/>
      <c r="D146" s="5" t="s">
        <v>31</v>
      </c>
      <c r="E146" s="5" t="s">
        <v>34</v>
      </c>
      <c r="F146" s="5">
        <v>240</v>
      </c>
      <c r="G146" s="5">
        <v>720</v>
      </c>
      <c r="H146" s="5">
        <v>2</v>
      </c>
      <c r="I146" s="5"/>
      <c r="J146" s="5"/>
    </row>
    <row r="147" spans="1:10">
      <c r="A147" s="5"/>
      <c r="B147" s="4">
        <v>45698</v>
      </c>
      <c r="C147" s="5"/>
      <c r="D147" s="5" t="s">
        <v>19</v>
      </c>
      <c r="E147" s="5" t="s">
        <v>34</v>
      </c>
      <c r="F147" s="5">
        <v>1240</v>
      </c>
      <c r="G147" s="5">
        <v>1532</v>
      </c>
      <c r="H147" s="5">
        <v>9</v>
      </c>
      <c r="I147" s="5"/>
      <c r="J147" s="5"/>
    </row>
    <row r="148" spans="1:10">
      <c r="A148" s="5"/>
      <c r="B148" s="4">
        <v>45698</v>
      </c>
      <c r="C148" s="5"/>
      <c r="D148" s="5" t="s">
        <v>10</v>
      </c>
      <c r="E148" s="5" t="s">
        <v>34</v>
      </c>
      <c r="F148" s="5">
        <v>1835</v>
      </c>
      <c r="G148" s="5">
        <v>745</v>
      </c>
      <c r="H148" s="5">
        <v>18</v>
      </c>
      <c r="I148" s="5"/>
      <c r="J148" s="5"/>
    </row>
    <row r="149" spans="1:10">
      <c r="A149" s="5"/>
      <c r="B149" s="4">
        <v>45698</v>
      </c>
      <c r="C149" s="5"/>
      <c r="D149" s="5" t="s">
        <v>41</v>
      </c>
      <c r="E149" s="5" t="s">
        <v>25</v>
      </c>
      <c r="F149" s="5">
        <v>0</v>
      </c>
      <c r="G149" s="5">
        <v>119</v>
      </c>
      <c r="H149" s="5">
        <v>22</v>
      </c>
      <c r="I149" s="5"/>
      <c r="J149" s="5"/>
    </row>
    <row r="150" spans="1:10">
      <c r="A150" s="5"/>
      <c r="B150" s="4">
        <v>45698</v>
      </c>
      <c r="C150" s="5"/>
      <c r="D150" s="5" t="s">
        <v>10</v>
      </c>
      <c r="E150" s="5" t="s">
        <v>34</v>
      </c>
      <c r="F150" s="5">
        <v>2321</v>
      </c>
      <c r="G150" s="5">
        <v>121</v>
      </c>
      <c r="H150" s="5">
        <v>1</v>
      </c>
      <c r="I150" s="5"/>
      <c r="J150" s="5"/>
    </row>
    <row r="151" spans="1:10">
      <c r="A151" s="5"/>
      <c r="B151" s="4">
        <v>45698</v>
      </c>
      <c r="C151" s="5"/>
      <c r="D151" s="5" t="s">
        <v>10</v>
      </c>
      <c r="E151" s="5" t="s">
        <v>21</v>
      </c>
      <c r="F151" s="5">
        <v>139</v>
      </c>
      <c r="G151" s="5">
        <v>220</v>
      </c>
      <c r="H151" s="5">
        <v>0</v>
      </c>
      <c r="I151" s="5"/>
      <c r="J151" s="5"/>
    </row>
    <row r="152" spans="1:10">
      <c r="A152" s="5"/>
      <c r="B152" s="4">
        <v>45698</v>
      </c>
      <c r="C152" s="5"/>
      <c r="D152" s="5" t="s">
        <v>10</v>
      </c>
      <c r="E152" s="5" t="s">
        <v>23</v>
      </c>
      <c r="F152" s="5">
        <v>0</v>
      </c>
      <c r="G152" s="5">
        <v>0</v>
      </c>
      <c r="H152" s="5">
        <v>0</v>
      </c>
      <c r="I152" s="5"/>
      <c r="J152" s="5"/>
    </row>
    <row r="153" spans="1:10">
      <c r="A153" s="5"/>
      <c r="B153" s="4">
        <v>45698</v>
      </c>
      <c r="C153" s="5"/>
      <c r="D153" s="5" t="s">
        <v>10</v>
      </c>
      <c r="E153" s="5" t="s">
        <v>40</v>
      </c>
      <c r="F153" s="5">
        <v>0</v>
      </c>
      <c r="G153" s="5">
        <v>0</v>
      </c>
      <c r="H153" s="5">
        <v>0</v>
      </c>
      <c r="I153" s="5"/>
      <c r="J153" s="5"/>
    </row>
    <row r="154" spans="1:10">
      <c r="A154" s="5"/>
      <c r="B154" s="4">
        <v>45705</v>
      </c>
      <c r="C154" s="5"/>
      <c r="D154" s="5" t="s">
        <v>29</v>
      </c>
      <c r="E154" s="5" t="s">
        <v>25</v>
      </c>
      <c r="F154" s="5">
        <v>140</v>
      </c>
      <c r="G154" s="5">
        <v>300</v>
      </c>
      <c r="H154" s="5">
        <v>1</v>
      </c>
      <c r="I154" s="5"/>
      <c r="J154" s="5"/>
    </row>
    <row r="155" spans="1:10">
      <c r="A155" s="5"/>
      <c r="B155" s="4">
        <v>45705</v>
      </c>
      <c r="C155" s="5"/>
      <c r="D155" s="5" t="s">
        <v>20</v>
      </c>
      <c r="E155" s="5" t="s">
        <v>21</v>
      </c>
      <c r="F155" s="5">
        <v>1500</v>
      </c>
      <c r="G155" s="5">
        <v>573</v>
      </c>
      <c r="H155" s="5">
        <v>5</v>
      </c>
      <c r="I155" s="5"/>
      <c r="J155" s="5"/>
    </row>
    <row r="156" spans="1:10">
      <c r="A156" s="5"/>
      <c r="B156" s="4">
        <v>45705</v>
      </c>
      <c r="C156" s="5"/>
      <c r="D156" s="5" t="s">
        <v>26</v>
      </c>
      <c r="E156" s="5" t="s">
        <v>25</v>
      </c>
      <c r="F156" s="5">
        <v>170</v>
      </c>
      <c r="G156" s="5">
        <v>135</v>
      </c>
      <c r="H156" s="5">
        <v>1</v>
      </c>
      <c r="I156" s="5"/>
      <c r="J156" s="5"/>
    </row>
    <row r="157" spans="1:10">
      <c r="A157" s="5"/>
      <c r="B157" s="4">
        <v>45705</v>
      </c>
      <c r="C157" s="5"/>
      <c r="D157" s="5" t="s">
        <v>27</v>
      </c>
      <c r="E157" s="5" t="s">
        <v>25</v>
      </c>
      <c r="F157" s="5">
        <v>600</v>
      </c>
      <c r="G157" s="5">
        <v>439</v>
      </c>
      <c r="H157" s="5">
        <v>4</v>
      </c>
      <c r="I157" s="5"/>
      <c r="J157" s="5"/>
    </row>
    <row r="158" spans="1:10">
      <c r="A158" s="5"/>
      <c r="B158" s="4">
        <v>45705</v>
      </c>
      <c r="C158" s="5"/>
      <c r="D158" s="5" t="s">
        <v>32</v>
      </c>
      <c r="E158" s="5" t="s">
        <v>40</v>
      </c>
      <c r="F158" s="5">
        <v>1060</v>
      </c>
      <c r="G158" s="5">
        <v>2560</v>
      </c>
      <c r="H158" s="5">
        <v>8</v>
      </c>
      <c r="I158" s="5"/>
      <c r="J158" s="5"/>
    </row>
    <row r="159" spans="1:10">
      <c r="A159" s="5"/>
      <c r="B159" s="4">
        <v>45705</v>
      </c>
      <c r="C159" s="5"/>
      <c r="D159" s="5" t="s">
        <v>28</v>
      </c>
      <c r="E159" s="5" t="s">
        <v>34</v>
      </c>
      <c r="F159" s="5">
        <v>210</v>
      </c>
      <c r="G159" s="5">
        <v>390</v>
      </c>
      <c r="H159" s="5">
        <v>1</v>
      </c>
      <c r="I159" s="5"/>
      <c r="J159" s="5"/>
    </row>
    <row r="160" spans="1:10">
      <c r="A160" s="5"/>
      <c r="B160" s="4">
        <v>45705</v>
      </c>
      <c r="C160" s="5"/>
      <c r="D160" s="5" t="s">
        <v>35</v>
      </c>
      <c r="E160" s="5" t="s">
        <v>25</v>
      </c>
      <c r="F160" s="5">
        <v>110</v>
      </c>
      <c r="G160" s="5">
        <v>250</v>
      </c>
      <c r="H160" s="5">
        <v>1</v>
      </c>
      <c r="I160" s="5"/>
      <c r="J160" s="5"/>
    </row>
    <row r="161" spans="1:10">
      <c r="A161" s="5"/>
      <c r="B161" s="4">
        <v>45705</v>
      </c>
      <c r="C161" s="5"/>
      <c r="D161" s="5" t="s">
        <v>30</v>
      </c>
      <c r="E161" s="5" t="s">
        <v>25</v>
      </c>
      <c r="F161" s="5">
        <v>1340</v>
      </c>
      <c r="G161" s="5">
        <v>740</v>
      </c>
      <c r="H161" s="5">
        <v>10</v>
      </c>
      <c r="I161" s="5"/>
      <c r="J161" s="5"/>
    </row>
    <row r="162" spans="1:10">
      <c r="A162" s="5"/>
      <c r="B162" s="4">
        <v>45705</v>
      </c>
      <c r="C162" s="5"/>
      <c r="D162" s="5" t="s">
        <v>36</v>
      </c>
      <c r="E162" s="5" t="s">
        <v>25</v>
      </c>
      <c r="F162" s="5">
        <v>340</v>
      </c>
      <c r="G162" s="5">
        <v>320</v>
      </c>
      <c r="H162" s="5">
        <v>3</v>
      </c>
      <c r="I162" s="5"/>
      <c r="J162" s="5"/>
    </row>
    <row r="163" spans="1:10">
      <c r="A163" s="5"/>
      <c r="B163" s="4">
        <v>45705</v>
      </c>
      <c r="C163" s="5"/>
      <c r="D163" s="5" t="s">
        <v>37</v>
      </c>
      <c r="E163" s="5" t="s">
        <v>40</v>
      </c>
      <c r="F163" s="5">
        <v>1160</v>
      </c>
      <c r="G163" s="5">
        <v>1600</v>
      </c>
      <c r="H163" s="5">
        <v>9</v>
      </c>
      <c r="I163" s="5"/>
      <c r="J163" s="5"/>
    </row>
    <row r="164" spans="1:10">
      <c r="A164" s="5"/>
      <c r="B164" s="4">
        <v>45705</v>
      </c>
      <c r="C164" s="5"/>
      <c r="D164" s="5" t="s">
        <v>13</v>
      </c>
      <c r="E164" s="5" t="s">
        <v>25</v>
      </c>
      <c r="F164" s="5">
        <v>260</v>
      </c>
      <c r="G164" s="5">
        <v>530</v>
      </c>
      <c r="H164" s="5">
        <v>1</v>
      </c>
      <c r="I164" s="5"/>
      <c r="J164" s="5"/>
    </row>
    <row r="165" spans="1:10">
      <c r="A165" s="5"/>
      <c r="B165" s="4">
        <v>45705</v>
      </c>
      <c r="C165" s="5"/>
      <c r="D165" s="5" t="s">
        <v>17</v>
      </c>
      <c r="E165" s="5" t="s">
        <v>34</v>
      </c>
      <c r="F165" s="5">
        <v>140</v>
      </c>
      <c r="G165" s="5">
        <v>200</v>
      </c>
      <c r="H165" s="5">
        <v>1</v>
      </c>
      <c r="I165" s="5"/>
      <c r="J165" s="5"/>
    </row>
    <row r="166" spans="1:10">
      <c r="A166" s="5"/>
      <c r="B166" s="4">
        <v>45705</v>
      </c>
      <c r="C166" s="5"/>
      <c r="D166" s="5" t="s">
        <v>19</v>
      </c>
      <c r="E166" s="5" t="s">
        <v>23</v>
      </c>
      <c r="F166" s="5">
        <v>2300</v>
      </c>
      <c r="G166" s="5">
        <v>325</v>
      </c>
      <c r="H166" s="5">
        <v>22</v>
      </c>
      <c r="I166" s="5"/>
      <c r="J166" s="5"/>
    </row>
    <row r="167" spans="1:10">
      <c r="A167" s="5"/>
      <c r="B167" s="4">
        <v>45705</v>
      </c>
      <c r="C167" s="5"/>
      <c r="D167" s="5" t="s">
        <v>31</v>
      </c>
      <c r="E167" s="5" t="s">
        <v>34</v>
      </c>
      <c r="F167" s="5">
        <v>280</v>
      </c>
      <c r="G167" s="5">
        <v>160</v>
      </c>
      <c r="H167" s="5">
        <v>1</v>
      </c>
      <c r="I167" s="5"/>
      <c r="J167" s="5"/>
    </row>
    <row r="168" spans="1:10">
      <c r="A168" s="5"/>
      <c r="B168" s="4">
        <v>45705</v>
      </c>
      <c r="C168" s="5"/>
      <c r="D168" s="5" t="s">
        <v>19</v>
      </c>
      <c r="E168" s="5" t="s">
        <v>34</v>
      </c>
      <c r="F168" s="5">
        <v>1020</v>
      </c>
      <c r="G168" s="5">
        <v>1280</v>
      </c>
      <c r="H168" s="5">
        <v>7</v>
      </c>
      <c r="I168" s="5"/>
      <c r="J168" s="5"/>
    </row>
    <row r="169" spans="1:10">
      <c r="A169" s="5"/>
      <c r="B169" s="4">
        <v>45705</v>
      </c>
      <c r="C169" s="5"/>
      <c r="D169" s="5" t="s">
        <v>10</v>
      </c>
      <c r="E169" s="5" t="s">
        <v>34</v>
      </c>
      <c r="F169" s="5">
        <v>2280</v>
      </c>
      <c r="G169" s="5">
        <v>1135</v>
      </c>
      <c r="H169" s="5">
        <v>17</v>
      </c>
      <c r="I169" s="5"/>
      <c r="J169" s="5"/>
    </row>
    <row r="170" spans="1:10">
      <c r="A170" s="5"/>
      <c r="B170" s="4">
        <v>45705</v>
      </c>
      <c r="C170" s="5"/>
      <c r="D170" s="5" t="s">
        <v>41</v>
      </c>
      <c r="E170" s="5" t="s">
        <v>25</v>
      </c>
      <c r="F170" s="5">
        <v>0</v>
      </c>
      <c r="G170" s="5">
        <v>0</v>
      </c>
      <c r="H170" s="5">
        <v>0</v>
      </c>
      <c r="I170" s="5"/>
      <c r="J170" s="5"/>
    </row>
    <row r="171" spans="1:10">
      <c r="A171" s="5"/>
      <c r="B171" s="4">
        <v>45705</v>
      </c>
      <c r="C171" s="5"/>
      <c r="D171" s="5" t="s">
        <v>10</v>
      </c>
      <c r="E171" s="5" t="s">
        <v>34</v>
      </c>
      <c r="F171" s="5">
        <v>1920</v>
      </c>
      <c r="G171" s="5">
        <v>1230</v>
      </c>
      <c r="H171" s="5">
        <v>13</v>
      </c>
      <c r="I171" s="5"/>
      <c r="J171" s="5"/>
    </row>
    <row r="172" spans="1:10">
      <c r="A172" s="5"/>
      <c r="B172" s="4">
        <v>45705</v>
      </c>
      <c r="C172" s="5"/>
      <c r="D172" s="5" t="s">
        <v>10</v>
      </c>
      <c r="E172" s="5" t="s">
        <v>21</v>
      </c>
      <c r="F172" s="5">
        <v>140</v>
      </c>
      <c r="G172" s="5">
        <v>269</v>
      </c>
      <c r="H172" s="5">
        <v>1</v>
      </c>
      <c r="I172" s="5"/>
      <c r="J172" s="5"/>
    </row>
    <row r="173" spans="1:10">
      <c r="A173" s="5"/>
      <c r="B173" s="4">
        <v>45705</v>
      </c>
      <c r="C173" s="5"/>
      <c r="D173" s="5" t="s">
        <v>10</v>
      </c>
      <c r="E173" s="5" t="s">
        <v>23</v>
      </c>
      <c r="F173" s="5">
        <v>200</v>
      </c>
      <c r="G173" s="5">
        <v>166</v>
      </c>
      <c r="H173" s="5">
        <v>1</v>
      </c>
      <c r="I173" s="5"/>
      <c r="J173" s="5"/>
    </row>
    <row r="174" spans="1:10">
      <c r="A174" s="5"/>
      <c r="B174" s="4">
        <v>45705</v>
      </c>
      <c r="C174" s="5"/>
      <c r="D174" s="5" t="s">
        <v>10</v>
      </c>
      <c r="E174" s="5" t="s">
        <v>40</v>
      </c>
      <c r="F174" s="5">
        <v>0</v>
      </c>
      <c r="G174" s="5">
        <v>0</v>
      </c>
      <c r="H174" s="5">
        <v>0</v>
      </c>
      <c r="I174" s="5"/>
      <c r="J174" s="5"/>
    </row>
    <row r="175" spans="1:10">
      <c r="A175" s="5"/>
      <c r="B175" s="4">
        <v>45713</v>
      </c>
      <c r="C175" s="5"/>
      <c r="D175" s="5" t="s">
        <v>29</v>
      </c>
      <c r="E175" s="5" t="s">
        <v>25</v>
      </c>
      <c r="F175" s="5">
        <v>240</v>
      </c>
      <c r="G175" s="5">
        <v>0</v>
      </c>
      <c r="H175" s="5">
        <v>0</v>
      </c>
      <c r="I175" s="5"/>
      <c r="J175" s="5"/>
    </row>
    <row r="176" spans="1:10">
      <c r="A176" s="5"/>
      <c r="B176" s="4">
        <v>45713</v>
      </c>
      <c r="C176" s="5"/>
      <c r="D176" s="5" t="s">
        <v>20</v>
      </c>
      <c r="E176" s="5" t="s">
        <v>21</v>
      </c>
      <c r="F176" s="5">
        <v>300</v>
      </c>
      <c r="G176" s="5">
        <v>940</v>
      </c>
      <c r="H176" s="5">
        <v>2</v>
      </c>
      <c r="I176" s="5"/>
      <c r="J176" s="5"/>
    </row>
    <row r="177" spans="1:10">
      <c r="A177" s="5"/>
      <c r="B177" s="4">
        <v>45713</v>
      </c>
      <c r="C177" s="5"/>
      <c r="D177" s="5" t="s">
        <v>26</v>
      </c>
      <c r="E177" s="5" t="s">
        <v>25</v>
      </c>
      <c r="F177" s="5">
        <v>0</v>
      </c>
      <c r="G177" s="5">
        <v>0</v>
      </c>
      <c r="H177" s="5">
        <v>0</v>
      </c>
      <c r="I177" s="5"/>
      <c r="J177" s="5"/>
    </row>
    <row r="178" spans="1:10">
      <c r="A178" s="5"/>
      <c r="B178" s="4">
        <v>45713</v>
      </c>
      <c r="C178" s="5"/>
      <c r="D178" s="5" t="s">
        <v>27</v>
      </c>
      <c r="E178" s="5" t="s">
        <v>25</v>
      </c>
      <c r="F178" s="5">
        <v>740</v>
      </c>
      <c r="G178" s="5">
        <v>500</v>
      </c>
      <c r="H178" s="5">
        <v>7</v>
      </c>
      <c r="I178" s="5"/>
      <c r="J178" s="5"/>
    </row>
    <row r="179" spans="1:10">
      <c r="A179" s="5"/>
      <c r="B179" s="4">
        <v>45713</v>
      </c>
      <c r="C179" s="5"/>
      <c r="D179" s="5" t="s">
        <v>32</v>
      </c>
      <c r="E179" s="5" t="s">
        <v>40</v>
      </c>
      <c r="F179" s="5">
        <v>600</v>
      </c>
      <c r="G179" s="5">
        <v>1760</v>
      </c>
      <c r="H179" s="5">
        <v>5</v>
      </c>
      <c r="I179" s="5"/>
      <c r="J179" s="5"/>
    </row>
    <row r="180" spans="1:10">
      <c r="A180" s="5"/>
      <c r="B180" s="4">
        <v>45713</v>
      </c>
      <c r="C180" s="5"/>
      <c r="D180" s="5" t="s">
        <v>28</v>
      </c>
      <c r="E180" s="5" t="s">
        <v>34</v>
      </c>
      <c r="F180" s="5">
        <v>45</v>
      </c>
      <c r="G180" s="5">
        <v>426</v>
      </c>
      <c r="H180" s="5">
        <v>1</v>
      </c>
      <c r="I180" s="5"/>
      <c r="J180" s="5"/>
    </row>
    <row r="181" spans="1:10">
      <c r="A181" s="5"/>
      <c r="B181" s="4">
        <v>45713</v>
      </c>
      <c r="C181" s="5"/>
      <c r="D181" s="5" t="s">
        <v>35</v>
      </c>
      <c r="E181" s="5" t="s">
        <v>25</v>
      </c>
      <c r="F181" s="5">
        <v>100</v>
      </c>
      <c r="G181" s="5">
        <v>320</v>
      </c>
      <c r="H181" s="5">
        <v>1</v>
      </c>
      <c r="I181" s="5"/>
      <c r="J181" s="5"/>
    </row>
    <row r="182" spans="1:10">
      <c r="A182" s="5"/>
      <c r="B182" s="4">
        <v>45713</v>
      </c>
      <c r="C182" s="5"/>
      <c r="D182" s="5" t="s">
        <v>30</v>
      </c>
      <c r="E182" s="5" t="s">
        <v>25</v>
      </c>
      <c r="F182" s="5">
        <v>430</v>
      </c>
      <c r="G182" s="5">
        <v>830</v>
      </c>
      <c r="H182" s="5">
        <v>0</v>
      </c>
      <c r="I182" s="5"/>
      <c r="J182" s="5"/>
    </row>
    <row r="183" spans="1:10">
      <c r="A183" s="5"/>
      <c r="B183" s="4">
        <v>45713</v>
      </c>
      <c r="C183" s="5"/>
      <c r="D183" s="5" t="s">
        <v>36</v>
      </c>
      <c r="E183" s="5" t="s">
        <v>25</v>
      </c>
      <c r="F183" s="5">
        <v>300</v>
      </c>
      <c r="G183" s="5">
        <v>180</v>
      </c>
      <c r="H183" s="5">
        <v>2</v>
      </c>
      <c r="I183" s="5"/>
      <c r="J183" s="5"/>
    </row>
    <row r="184" spans="1:10">
      <c r="A184" s="5"/>
      <c r="B184" s="4">
        <v>45713</v>
      </c>
      <c r="C184" s="5"/>
      <c r="D184" s="5" t="s">
        <v>37</v>
      </c>
      <c r="E184" s="5" t="s">
        <v>40</v>
      </c>
      <c r="F184" s="5">
        <v>0</v>
      </c>
      <c r="G184" s="5">
        <v>0</v>
      </c>
      <c r="H184" s="5">
        <v>0</v>
      </c>
      <c r="I184" s="5"/>
      <c r="J184" s="5"/>
    </row>
    <row r="185" spans="1:10">
      <c r="A185" s="5"/>
      <c r="B185" s="4">
        <v>45713</v>
      </c>
      <c r="C185" s="5"/>
      <c r="D185" s="5" t="s">
        <v>13</v>
      </c>
      <c r="E185" s="5" t="s">
        <v>25</v>
      </c>
      <c r="F185" s="5">
        <v>0</v>
      </c>
      <c r="G185" s="5">
        <v>0</v>
      </c>
      <c r="H185" s="5">
        <v>0</v>
      </c>
      <c r="I185" s="5"/>
      <c r="J185" s="5"/>
    </row>
    <row r="186" spans="1:10">
      <c r="A186" s="5"/>
      <c r="B186" s="4">
        <v>45713</v>
      </c>
      <c r="C186" s="5"/>
      <c r="D186" s="5" t="s">
        <v>17</v>
      </c>
      <c r="E186" s="5" t="s">
        <v>34</v>
      </c>
      <c r="F186" s="5">
        <v>167</v>
      </c>
      <c r="G186" s="5">
        <v>366</v>
      </c>
      <c r="H186" s="5">
        <v>1</v>
      </c>
      <c r="I186" s="5"/>
      <c r="J186" s="5"/>
    </row>
    <row r="187" spans="1:10">
      <c r="A187" s="5"/>
      <c r="B187" s="4">
        <v>45713</v>
      </c>
      <c r="C187" s="5"/>
      <c r="D187" s="5" t="s">
        <v>19</v>
      </c>
      <c r="E187" s="5" t="s">
        <v>23</v>
      </c>
      <c r="F187" s="5">
        <v>1326</v>
      </c>
      <c r="G187" s="5">
        <v>2050</v>
      </c>
      <c r="H187" s="5">
        <v>12</v>
      </c>
      <c r="I187" s="5"/>
      <c r="J187" s="5"/>
    </row>
    <row r="188" spans="1:10">
      <c r="A188" s="5"/>
      <c r="B188" s="4">
        <v>45713</v>
      </c>
      <c r="C188" s="5"/>
      <c r="D188" s="5" t="s">
        <v>31</v>
      </c>
      <c r="E188" s="5" t="s">
        <v>34</v>
      </c>
      <c r="F188" s="5">
        <v>0</v>
      </c>
      <c r="G188" s="5">
        <v>0</v>
      </c>
      <c r="H188" s="5">
        <v>0</v>
      </c>
      <c r="I188" s="5"/>
      <c r="J188" s="5"/>
    </row>
    <row r="189" spans="1:10">
      <c r="A189" s="5"/>
      <c r="B189" s="4">
        <v>45713</v>
      </c>
      <c r="C189" s="5"/>
      <c r="D189" s="5" t="s">
        <v>19</v>
      </c>
      <c r="E189" s="5" t="s">
        <v>34</v>
      </c>
      <c r="F189" s="5">
        <v>280</v>
      </c>
      <c r="G189" s="5">
        <v>1610</v>
      </c>
      <c r="H189" s="5">
        <v>0</v>
      </c>
      <c r="I189" s="5"/>
      <c r="J189" s="5"/>
    </row>
    <row r="190" spans="1:10">
      <c r="A190" s="5"/>
      <c r="B190" s="4">
        <v>45713</v>
      </c>
      <c r="C190" s="5"/>
      <c r="D190" s="5" t="s">
        <v>10</v>
      </c>
      <c r="E190" s="5" t="s">
        <v>34</v>
      </c>
      <c r="F190" s="5">
        <v>5460</v>
      </c>
      <c r="G190" s="5">
        <v>500</v>
      </c>
      <c r="H190" s="5">
        <v>20</v>
      </c>
      <c r="I190" s="5"/>
      <c r="J190" s="5"/>
    </row>
    <row r="191" spans="1:10">
      <c r="A191" s="5"/>
      <c r="B191" s="4">
        <v>45713</v>
      </c>
      <c r="C191" s="5"/>
      <c r="D191" s="5" t="s">
        <v>41</v>
      </c>
      <c r="E191" s="5" t="s">
        <v>25</v>
      </c>
      <c r="F191" s="5">
        <v>0</v>
      </c>
      <c r="G191" s="5">
        <v>0</v>
      </c>
      <c r="H191" s="5">
        <v>0</v>
      </c>
      <c r="I191" s="5"/>
      <c r="J191" s="5"/>
    </row>
    <row r="192" spans="1:10">
      <c r="A192" s="5"/>
      <c r="B192" s="4">
        <v>45713</v>
      </c>
      <c r="C192" s="5"/>
      <c r="D192" s="5" t="s">
        <v>10</v>
      </c>
      <c r="E192" s="5" t="s">
        <v>34</v>
      </c>
      <c r="F192" s="5">
        <v>0</v>
      </c>
      <c r="G192" s="5">
        <v>0</v>
      </c>
      <c r="H192" s="5">
        <v>0</v>
      </c>
      <c r="I192" s="5"/>
      <c r="J192" s="5"/>
    </row>
    <row r="193" spans="1:10">
      <c r="A193" s="5"/>
      <c r="B193" s="4">
        <v>45713</v>
      </c>
      <c r="C193" s="5"/>
      <c r="D193" s="5" t="s">
        <v>10</v>
      </c>
      <c r="E193" s="5" t="s">
        <v>21</v>
      </c>
      <c r="F193" s="5">
        <v>340</v>
      </c>
      <c r="G193" s="5">
        <v>1840</v>
      </c>
      <c r="H193" s="5">
        <v>1</v>
      </c>
      <c r="I193" s="5"/>
      <c r="J193" s="5"/>
    </row>
    <row r="194" spans="1:10">
      <c r="A194" s="5"/>
      <c r="B194" s="4">
        <v>45713</v>
      </c>
      <c r="C194" s="5"/>
      <c r="D194" s="5" t="s">
        <v>10</v>
      </c>
      <c r="E194" s="5" t="s">
        <v>23</v>
      </c>
      <c r="F194" s="5">
        <v>300</v>
      </c>
      <c r="G194" s="5">
        <v>0</v>
      </c>
      <c r="H194" s="5">
        <v>3</v>
      </c>
      <c r="I194" s="5"/>
      <c r="J194" s="5"/>
    </row>
    <row r="195" spans="1:10">
      <c r="A195" s="5"/>
      <c r="B195" s="4">
        <v>45713</v>
      </c>
      <c r="C195" s="5"/>
      <c r="D195" s="5" t="s">
        <v>10</v>
      </c>
      <c r="E195" s="5" t="s">
        <v>40</v>
      </c>
      <c r="F195" s="5">
        <v>0</v>
      </c>
      <c r="G195" s="5">
        <v>0</v>
      </c>
      <c r="H195" s="5">
        <v>0</v>
      </c>
      <c r="I195" s="5"/>
      <c r="J195" s="5"/>
    </row>
    <row r="196" spans="1:10">
      <c r="A196" s="5"/>
      <c r="B196" s="4">
        <v>45719</v>
      </c>
      <c r="C196" s="5"/>
      <c r="D196" s="5" t="s">
        <v>29</v>
      </c>
      <c r="E196" s="5" t="s">
        <v>25</v>
      </c>
      <c r="F196" s="5">
        <v>0</v>
      </c>
      <c r="G196" s="5">
        <v>360</v>
      </c>
      <c r="H196" s="5">
        <v>0</v>
      </c>
      <c r="I196" s="5"/>
      <c r="J196" s="5"/>
    </row>
    <row r="197" spans="1:10">
      <c r="A197" s="5"/>
      <c r="B197" s="4">
        <v>45719</v>
      </c>
      <c r="C197" s="5"/>
      <c r="D197" s="5" t="s">
        <v>20</v>
      </c>
      <c r="E197" s="5" t="s">
        <v>21</v>
      </c>
      <c r="F197" s="5">
        <v>0</v>
      </c>
      <c r="G197" s="5">
        <v>0</v>
      </c>
      <c r="H197" s="5">
        <v>0</v>
      </c>
      <c r="I197" s="5"/>
      <c r="J197" s="5"/>
    </row>
    <row r="198" spans="1:10">
      <c r="A198" s="5"/>
      <c r="B198" s="4">
        <v>45719</v>
      </c>
      <c r="C198" s="5"/>
      <c r="D198" s="5" t="s">
        <v>26</v>
      </c>
      <c r="E198" s="5" t="s">
        <v>25</v>
      </c>
      <c r="F198" s="5">
        <v>0</v>
      </c>
      <c r="G198" s="5">
        <v>0</v>
      </c>
      <c r="H198" s="5">
        <v>0</v>
      </c>
      <c r="I198" s="5"/>
      <c r="J198" s="5"/>
    </row>
    <row r="199" spans="1:10">
      <c r="A199" s="5"/>
      <c r="B199" s="4">
        <v>45719</v>
      </c>
      <c r="C199" s="5"/>
      <c r="D199" s="5" t="s">
        <v>27</v>
      </c>
      <c r="E199" s="5" t="s">
        <v>25</v>
      </c>
      <c r="F199" s="5">
        <v>480</v>
      </c>
      <c r="G199" s="5">
        <v>620</v>
      </c>
      <c r="H199" s="5">
        <v>4</v>
      </c>
      <c r="I199" s="5"/>
      <c r="J199" s="5"/>
    </row>
    <row r="200" spans="1:10">
      <c r="A200" s="5"/>
      <c r="B200" s="4">
        <v>45719</v>
      </c>
      <c r="C200" s="5"/>
      <c r="D200" s="5" t="s">
        <v>32</v>
      </c>
      <c r="E200" s="5" t="s">
        <v>40</v>
      </c>
      <c r="F200" s="5">
        <v>250</v>
      </c>
      <c r="G200" s="5">
        <v>1510</v>
      </c>
      <c r="H200" s="5">
        <v>2</v>
      </c>
      <c r="I200" s="5"/>
      <c r="J200" s="5"/>
    </row>
    <row r="201" spans="1:10">
      <c r="A201" s="5"/>
      <c r="B201" s="4">
        <v>45719</v>
      </c>
      <c r="C201" s="5"/>
      <c r="D201" s="5" t="s">
        <v>28</v>
      </c>
      <c r="E201" s="5" t="s">
        <v>34</v>
      </c>
      <c r="F201" s="5">
        <v>0</v>
      </c>
      <c r="G201" s="5">
        <v>843</v>
      </c>
      <c r="H201" s="5">
        <v>0</v>
      </c>
      <c r="I201" s="5"/>
      <c r="J201" s="5"/>
    </row>
    <row r="202" spans="1:10">
      <c r="A202" s="5"/>
      <c r="B202" s="4">
        <v>45719</v>
      </c>
      <c r="C202" s="5"/>
      <c r="D202" s="5" t="s">
        <v>35</v>
      </c>
      <c r="E202" s="5" t="s">
        <v>25</v>
      </c>
      <c r="F202" s="5">
        <v>30</v>
      </c>
      <c r="G202" s="5">
        <v>260</v>
      </c>
      <c r="H202" s="5">
        <v>0</v>
      </c>
      <c r="I202" s="5"/>
      <c r="J202" s="5"/>
    </row>
    <row r="203" spans="1:10">
      <c r="A203" s="5"/>
      <c r="B203" s="4">
        <v>45719</v>
      </c>
      <c r="C203" s="5"/>
      <c r="D203" s="5" t="s">
        <v>30</v>
      </c>
      <c r="E203" s="5" t="s">
        <v>25</v>
      </c>
      <c r="F203" s="5">
        <v>0</v>
      </c>
      <c r="G203" s="5">
        <v>0</v>
      </c>
      <c r="H203" s="5">
        <v>0</v>
      </c>
      <c r="I203" s="5"/>
      <c r="J203" s="5"/>
    </row>
    <row r="204" spans="1:10">
      <c r="A204" s="5"/>
      <c r="B204" s="4">
        <v>45719</v>
      </c>
      <c r="C204" s="5"/>
      <c r="D204" s="5" t="s">
        <v>36</v>
      </c>
      <c r="E204" s="5" t="s">
        <v>25</v>
      </c>
      <c r="F204" s="5">
        <v>540</v>
      </c>
      <c r="G204" s="5">
        <v>480</v>
      </c>
      <c r="H204" s="5">
        <v>3</v>
      </c>
      <c r="I204" s="5"/>
      <c r="J204" s="5"/>
    </row>
    <row r="205" spans="1:10">
      <c r="A205" s="5"/>
      <c r="B205" s="4">
        <v>45719</v>
      </c>
      <c r="C205" s="5"/>
      <c r="D205" s="5" t="s">
        <v>37</v>
      </c>
      <c r="E205" s="5" t="s">
        <v>40</v>
      </c>
      <c r="F205" s="5">
        <v>1340</v>
      </c>
      <c r="G205" s="5">
        <v>2060</v>
      </c>
      <c r="H205" s="5">
        <v>7</v>
      </c>
      <c r="I205" s="5"/>
      <c r="J205" s="5"/>
    </row>
    <row r="206" spans="1:10">
      <c r="A206" s="5"/>
      <c r="B206" s="4">
        <v>45719</v>
      </c>
      <c r="C206" s="5"/>
      <c r="D206" s="5" t="s">
        <v>13</v>
      </c>
      <c r="E206" s="5" t="s">
        <v>25</v>
      </c>
      <c r="F206" s="5">
        <v>0</v>
      </c>
      <c r="G206" s="5">
        <v>660</v>
      </c>
      <c r="H206" s="5">
        <v>0</v>
      </c>
      <c r="I206" s="5"/>
      <c r="J206" s="5"/>
    </row>
    <row r="207" spans="1:10">
      <c r="A207" s="5"/>
      <c r="B207" s="4">
        <v>45719</v>
      </c>
      <c r="C207" s="5"/>
      <c r="D207" s="5" t="s">
        <v>17</v>
      </c>
      <c r="E207" s="5" t="s">
        <v>34</v>
      </c>
      <c r="F207" s="5">
        <v>0</v>
      </c>
      <c r="G207" s="5">
        <v>550</v>
      </c>
      <c r="H207" s="5">
        <v>0</v>
      </c>
      <c r="I207" s="5"/>
      <c r="J207" s="5"/>
    </row>
    <row r="208" spans="1:10">
      <c r="A208" s="5"/>
      <c r="B208" s="4">
        <v>45719</v>
      </c>
      <c r="C208" s="5"/>
      <c r="D208" s="5" t="s">
        <v>19</v>
      </c>
      <c r="E208" s="5" t="s">
        <v>23</v>
      </c>
      <c r="F208" s="5">
        <v>1160</v>
      </c>
      <c r="G208" s="5">
        <v>2420</v>
      </c>
      <c r="H208" s="5">
        <v>11</v>
      </c>
      <c r="I208" s="5"/>
      <c r="J208" s="5"/>
    </row>
    <row r="209" spans="1:10">
      <c r="A209" s="5"/>
      <c r="B209" s="4">
        <v>45719</v>
      </c>
      <c r="C209" s="5"/>
      <c r="D209" s="5" t="s">
        <v>31</v>
      </c>
      <c r="E209" s="5" t="s">
        <v>34</v>
      </c>
      <c r="F209" s="5">
        <v>0</v>
      </c>
      <c r="G209" s="5">
        <v>0</v>
      </c>
      <c r="H209" s="5">
        <v>0</v>
      </c>
      <c r="I209" s="5"/>
      <c r="J209" s="5"/>
    </row>
    <row r="210" spans="1:10">
      <c r="A210" s="5"/>
      <c r="B210" s="4">
        <v>45719</v>
      </c>
      <c r="C210" s="5"/>
      <c r="D210" s="5" t="s">
        <v>19</v>
      </c>
      <c r="E210" s="5" t="s">
        <v>34</v>
      </c>
      <c r="F210" s="5">
        <v>1600</v>
      </c>
      <c r="G210" s="5">
        <v>1100</v>
      </c>
      <c r="H210" s="5">
        <v>5</v>
      </c>
      <c r="I210" s="5"/>
      <c r="J210" s="5"/>
    </row>
    <row r="211" spans="1:10">
      <c r="A211" s="5"/>
      <c r="B211" s="4">
        <v>45719</v>
      </c>
      <c r="C211" s="5"/>
      <c r="D211" s="5" t="s">
        <v>10</v>
      </c>
      <c r="E211" s="5" t="s">
        <v>34</v>
      </c>
      <c r="F211" s="5">
        <v>580</v>
      </c>
      <c r="G211" s="5">
        <v>1480</v>
      </c>
      <c r="H211" s="5">
        <v>10</v>
      </c>
      <c r="I211" s="5"/>
      <c r="J211" s="5"/>
    </row>
    <row r="212" spans="1:10">
      <c r="A212" s="5"/>
      <c r="B212" s="4">
        <v>45719</v>
      </c>
      <c r="C212" s="5"/>
      <c r="D212" s="5" t="s">
        <v>41</v>
      </c>
      <c r="E212" s="5" t="s">
        <v>25</v>
      </c>
      <c r="F212" s="5">
        <v>0</v>
      </c>
      <c r="G212" s="5">
        <v>0</v>
      </c>
      <c r="H212" s="5">
        <v>0</v>
      </c>
      <c r="I212" s="5"/>
      <c r="J212" s="5"/>
    </row>
    <row r="213" spans="1:10">
      <c r="A213" s="5"/>
      <c r="B213" s="4">
        <v>45719</v>
      </c>
      <c r="C213" s="5"/>
      <c r="D213" s="5" t="s">
        <v>10</v>
      </c>
      <c r="E213" s="5" t="s">
        <v>34</v>
      </c>
      <c r="F213" s="5">
        <v>4620</v>
      </c>
      <c r="G213" s="5">
        <v>0</v>
      </c>
      <c r="H213" s="5">
        <v>30</v>
      </c>
      <c r="I213" s="5"/>
      <c r="J213" s="5"/>
    </row>
    <row r="214" spans="1:10">
      <c r="A214" s="5"/>
      <c r="B214" s="4">
        <v>45719</v>
      </c>
      <c r="C214" s="5"/>
      <c r="D214" s="5" t="s">
        <v>10</v>
      </c>
      <c r="E214" s="5" t="s">
        <v>21</v>
      </c>
      <c r="F214" s="5">
        <v>340</v>
      </c>
      <c r="G214" s="5">
        <v>2200</v>
      </c>
      <c r="H214" s="5">
        <v>2</v>
      </c>
      <c r="I214" s="5"/>
      <c r="J214" s="5"/>
    </row>
    <row r="215" spans="1:10">
      <c r="A215" s="5"/>
      <c r="B215" s="4">
        <v>45719</v>
      </c>
      <c r="C215" s="5"/>
      <c r="D215" s="5" t="s">
        <v>10</v>
      </c>
      <c r="E215" s="5" t="s">
        <v>23</v>
      </c>
      <c r="F215" s="5">
        <v>360</v>
      </c>
      <c r="G215" s="5">
        <v>3190</v>
      </c>
      <c r="H215" s="5">
        <v>0</v>
      </c>
      <c r="I215" s="5"/>
      <c r="J215" s="5"/>
    </row>
    <row r="216" spans="1:10">
      <c r="A216" s="5"/>
      <c r="B216" s="4">
        <v>45719</v>
      </c>
      <c r="C216" s="5"/>
      <c r="D216" s="5" t="s">
        <v>10</v>
      </c>
      <c r="E216" s="5" t="s">
        <v>40</v>
      </c>
      <c r="F216" s="5">
        <v>160</v>
      </c>
      <c r="G216" s="5">
        <v>0</v>
      </c>
      <c r="H216" s="5">
        <v>1</v>
      </c>
      <c r="I216" s="5"/>
      <c r="J216" s="5"/>
    </row>
    <row r="217" spans="1:10">
      <c r="A217" s="5"/>
      <c r="B217" s="4">
        <v>45726</v>
      </c>
      <c r="C217" s="5"/>
      <c r="D217" s="5" t="s">
        <v>26</v>
      </c>
      <c r="E217" s="5" t="s">
        <v>25</v>
      </c>
      <c r="F217" s="5">
        <v>466</v>
      </c>
      <c r="G217" s="5">
        <v>1474</v>
      </c>
      <c r="H217" s="5">
        <v>3</v>
      </c>
      <c r="I217" s="5"/>
      <c r="J217" s="5"/>
    </row>
    <row r="218" spans="1:10">
      <c r="A218" s="5"/>
      <c r="B218" s="4">
        <v>45726</v>
      </c>
      <c r="C218" s="5"/>
      <c r="D218" s="5" t="s">
        <v>27</v>
      </c>
      <c r="E218" s="5" t="s">
        <v>25</v>
      </c>
      <c r="F218" s="5">
        <v>180</v>
      </c>
      <c r="G218" s="5">
        <v>80</v>
      </c>
      <c r="H218" s="5">
        <v>1</v>
      </c>
      <c r="I218" s="5"/>
      <c r="J218" s="5"/>
    </row>
    <row r="219" spans="1:10">
      <c r="A219" s="5"/>
      <c r="B219" s="4">
        <v>45726</v>
      </c>
      <c r="C219" s="5"/>
      <c r="D219" s="5" t="s">
        <v>32</v>
      </c>
      <c r="E219" s="5" t="s">
        <v>42</v>
      </c>
      <c r="F219" s="5">
        <v>50</v>
      </c>
      <c r="G219" s="5">
        <v>1320</v>
      </c>
      <c r="H219" s="5">
        <v>0</v>
      </c>
      <c r="I219" s="5"/>
      <c r="J219" s="5"/>
    </row>
    <row r="220" spans="1:10">
      <c r="A220" s="5"/>
      <c r="B220" s="4">
        <v>45726</v>
      </c>
      <c r="C220" s="5"/>
      <c r="D220" s="5" t="s">
        <v>28</v>
      </c>
      <c r="E220" s="5" t="s">
        <v>43</v>
      </c>
      <c r="F220" s="5">
        <v>0</v>
      </c>
      <c r="G220" s="5">
        <v>634</v>
      </c>
      <c r="H220" s="5">
        <v>0</v>
      </c>
      <c r="I220" s="5"/>
      <c r="J220" s="5"/>
    </row>
    <row r="221" spans="1:10">
      <c r="A221" s="5"/>
      <c r="B221" s="4">
        <v>45726</v>
      </c>
      <c r="C221" s="5"/>
      <c r="D221" s="5" t="s">
        <v>30</v>
      </c>
      <c r="E221" s="5" t="s">
        <v>25</v>
      </c>
      <c r="F221" s="5">
        <v>0</v>
      </c>
      <c r="G221" s="5">
        <v>40</v>
      </c>
      <c r="H221" s="5">
        <v>0</v>
      </c>
      <c r="I221" s="5"/>
      <c r="J221" s="5"/>
    </row>
    <row r="222" spans="1:10">
      <c r="A222" s="5"/>
      <c r="B222" s="4">
        <v>45726</v>
      </c>
      <c r="C222" s="5"/>
      <c r="D222" s="5" t="s">
        <v>36</v>
      </c>
      <c r="E222" s="5" t="s">
        <v>25</v>
      </c>
      <c r="F222" s="5">
        <v>76</v>
      </c>
      <c r="G222" s="5">
        <v>104</v>
      </c>
      <c r="H222" s="5">
        <v>0</v>
      </c>
      <c r="I222" s="5"/>
      <c r="J222" s="5"/>
    </row>
    <row r="223" spans="1:10">
      <c r="A223" s="5"/>
      <c r="B223" s="4">
        <v>45726</v>
      </c>
      <c r="C223" s="5"/>
      <c r="D223" s="5" t="s">
        <v>37</v>
      </c>
      <c r="E223" s="5" t="s">
        <v>42</v>
      </c>
      <c r="F223" s="5">
        <v>460</v>
      </c>
      <c r="G223" s="5">
        <v>1620</v>
      </c>
      <c r="H223" s="5">
        <v>3</v>
      </c>
      <c r="I223" s="5"/>
      <c r="J223" s="5"/>
    </row>
    <row r="224" spans="1:10">
      <c r="A224" s="5"/>
      <c r="B224" s="4">
        <v>45726</v>
      </c>
      <c r="C224" s="5"/>
      <c r="D224" s="5" t="s">
        <v>17</v>
      </c>
      <c r="E224" s="5" t="s">
        <v>43</v>
      </c>
      <c r="F224" s="5">
        <v>0</v>
      </c>
      <c r="G224" s="5">
        <v>180</v>
      </c>
      <c r="H224" s="5">
        <v>0</v>
      </c>
      <c r="I224" s="5"/>
      <c r="J224" s="5"/>
    </row>
    <row r="225" spans="1:10">
      <c r="A225" s="5"/>
      <c r="B225" s="4">
        <v>45726</v>
      </c>
      <c r="C225" s="5"/>
      <c r="D225" s="5" t="s">
        <v>19</v>
      </c>
      <c r="E225" s="5" t="s">
        <v>23</v>
      </c>
      <c r="F225" s="5">
        <v>551</v>
      </c>
      <c r="G225" s="5">
        <v>479</v>
      </c>
      <c r="H225" s="5">
        <v>5</v>
      </c>
      <c r="I225" s="5"/>
      <c r="J225" s="5"/>
    </row>
    <row r="226" spans="1:10">
      <c r="A226" s="5"/>
      <c r="B226" s="4">
        <v>45726</v>
      </c>
      <c r="C226" s="5"/>
      <c r="D226" s="5" t="s">
        <v>31</v>
      </c>
      <c r="E226" s="5" t="s">
        <v>43</v>
      </c>
      <c r="F226" s="5">
        <v>0</v>
      </c>
      <c r="G226" s="5">
        <v>240</v>
      </c>
      <c r="H226" s="5">
        <v>0</v>
      </c>
      <c r="I226" s="5"/>
      <c r="J226" s="5"/>
    </row>
    <row r="227" spans="1:10">
      <c r="A227" s="5"/>
      <c r="B227" s="4">
        <v>45726</v>
      </c>
      <c r="C227" s="5"/>
      <c r="D227" s="5" t="s">
        <v>19</v>
      </c>
      <c r="E227" s="5" t="s">
        <v>43</v>
      </c>
      <c r="F227" s="5">
        <v>0</v>
      </c>
      <c r="G227" s="5">
        <v>630</v>
      </c>
      <c r="H227" s="5">
        <v>0</v>
      </c>
      <c r="I227" s="5"/>
      <c r="J227" s="5"/>
    </row>
    <row r="228" spans="1:10">
      <c r="A228" s="5"/>
      <c r="B228" s="4">
        <v>45726</v>
      </c>
      <c r="C228" s="5"/>
      <c r="D228" s="5" t="s">
        <v>26</v>
      </c>
      <c r="E228" s="5" t="s">
        <v>43</v>
      </c>
      <c r="F228" s="5">
        <v>400</v>
      </c>
      <c r="G228" s="5">
        <v>1240</v>
      </c>
      <c r="H228" s="5">
        <v>3</v>
      </c>
      <c r="I228" s="5"/>
      <c r="J228" s="5"/>
    </row>
    <row r="229" spans="1:10">
      <c r="A229" s="5"/>
      <c r="B229" s="4">
        <v>45726</v>
      </c>
      <c r="C229" s="5"/>
      <c r="D229" s="5" t="s">
        <v>10</v>
      </c>
      <c r="E229" s="5" t="s">
        <v>43</v>
      </c>
      <c r="F229" s="5">
        <v>2420</v>
      </c>
      <c r="G229" s="5">
        <v>4140</v>
      </c>
      <c r="H229" s="5">
        <v>17</v>
      </c>
      <c r="I229" s="5"/>
      <c r="J229" s="5"/>
    </row>
    <row r="230" spans="1:10">
      <c r="A230" s="5"/>
      <c r="B230" s="4">
        <v>45726</v>
      </c>
      <c r="C230" s="5"/>
      <c r="D230" s="5" t="s">
        <v>10</v>
      </c>
      <c r="E230" s="5" t="s">
        <v>44</v>
      </c>
      <c r="F230" s="5">
        <v>340</v>
      </c>
      <c r="G230" s="5">
        <v>0</v>
      </c>
      <c r="H230" s="5">
        <v>2</v>
      </c>
      <c r="I230" s="5"/>
      <c r="J230" s="5"/>
    </row>
    <row r="231" spans="1:10">
      <c r="A231" s="5"/>
      <c r="B231" s="4">
        <v>45726</v>
      </c>
      <c r="C231" s="5"/>
      <c r="D231" s="5" t="s">
        <v>10</v>
      </c>
      <c r="E231" s="5" t="s">
        <v>23</v>
      </c>
      <c r="F231" s="5">
        <v>0</v>
      </c>
      <c r="G231" s="5">
        <v>720</v>
      </c>
      <c r="H231" s="5">
        <v>0</v>
      </c>
      <c r="I231" s="5"/>
      <c r="J231" s="5"/>
    </row>
    <row r="232" spans="1:10">
      <c r="A232" s="5"/>
      <c r="B232" s="4">
        <v>45726</v>
      </c>
      <c r="C232" s="5"/>
      <c r="D232" s="5" t="s">
        <v>10</v>
      </c>
      <c r="E232" s="5" t="s">
        <v>42</v>
      </c>
      <c r="F232" s="5">
        <v>120</v>
      </c>
      <c r="G232" s="5">
        <v>0</v>
      </c>
      <c r="H232" s="5">
        <v>1</v>
      </c>
      <c r="I232" s="5"/>
      <c r="J232" s="5"/>
    </row>
    <row r="233" spans="1:10">
      <c r="A233" s="5"/>
      <c r="B233" s="4">
        <v>45733</v>
      </c>
      <c r="D233" s="5" t="s">
        <v>32</v>
      </c>
      <c r="E233" s="5" t="s">
        <v>40</v>
      </c>
      <c r="F233" s="5">
        <v>130</v>
      </c>
      <c r="G233" s="5">
        <v>1550</v>
      </c>
      <c r="H233" s="5">
        <v>1</v>
      </c>
      <c r="I233" s="5"/>
      <c r="J233" s="5"/>
    </row>
    <row r="234" spans="1:10">
      <c r="A234" s="5"/>
      <c r="B234" s="4">
        <v>45733</v>
      </c>
      <c r="C234" s="5"/>
      <c r="D234" s="5" t="s">
        <v>35</v>
      </c>
      <c r="E234" s="5" t="s">
        <v>25</v>
      </c>
      <c r="F234" s="5">
        <v>0</v>
      </c>
      <c r="G234" s="5">
        <v>40</v>
      </c>
      <c r="H234" s="5">
        <v>0</v>
      </c>
      <c r="I234" s="5"/>
      <c r="J234" s="5"/>
    </row>
    <row r="235" spans="1:10">
      <c r="A235" s="5"/>
      <c r="B235" s="4">
        <v>45733</v>
      </c>
      <c r="C235" s="5"/>
      <c r="D235" s="5" t="s">
        <v>36</v>
      </c>
      <c r="E235" s="5" t="s">
        <v>25</v>
      </c>
      <c r="F235" s="5">
        <v>0</v>
      </c>
      <c r="G235" s="5">
        <v>240</v>
      </c>
      <c r="H235" s="5">
        <v>0</v>
      </c>
      <c r="I235" s="5"/>
      <c r="J235" s="5"/>
    </row>
    <row r="236" spans="1:10">
      <c r="A236" s="5"/>
      <c r="B236" s="4">
        <v>45733</v>
      </c>
      <c r="C236" s="5"/>
      <c r="D236" s="5" t="s">
        <v>37</v>
      </c>
      <c r="E236" s="5" t="s">
        <v>40</v>
      </c>
      <c r="F236" s="5">
        <v>460</v>
      </c>
      <c r="G236" s="5">
        <v>1800</v>
      </c>
      <c r="H236" s="5">
        <v>2</v>
      </c>
      <c r="I236" s="5"/>
      <c r="J236" s="5"/>
    </row>
    <row r="237" spans="1:10">
      <c r="A237" s="5"/>
      <c r="B237" s="4">
        <v>45733</v>
      </c>
      <c r="C237" s="5"/>
      <c r="D237" s="5" t="s">
        <v>17</v>
      </c>
      <c r="E237" s="5" t="s">
        <v>43</v>
      </c>
      <c r="F237" s="5">
        <v>0</v>
      </c>
      <c r="G237" s="5">
        <v>165</v>
      </c>
      <c r="H237" s="5">
        <v>0</v>
      </c>
      <c r="I237" s="5"/>
      <c r="J237" s="5"/>
    </row>
    <row r="238" spans="1:10">
      <c r="A238" s="5"/>
      <c r="B238" s="4">
        <v>45733</v>
      </c>
      <c r="C238" s="5"/>
      <c r="D238" s="5" t="s">
        <v>19</v>
      </c>
      <c r="E238" s="5" t="s">
        <v>23</v>
      </c>
      <c r="F238" s="5">
        <v>440</v>
      </c>
      <c r="G238" s="5">
        <v>1360</v>
      </c>
      <c r="H238" s="5">
        <v>4</v>
      </c>
      <c r="I238" s="5"/>
      <c r="J238" s="5"/>
    </row>
    <row r="239" spans="1:10">
      <c r="A239" s="5"/>
      <c r="B239" s="4">
        <v>45733</v>
      </c>
      <c r="C239" s="5"/>
      <c r="D239" s="5" t="s">
        <v>26</v>
      </c>
      <c r="E239" s="5" t="s">
        <v>43</v>
      </c>
      <c r="F239" s="5">
        <v>270</v>
      </c>
      <c r="G239" s="5">
        <v>510</v>
      </c>
      <c r="H239" s="5">
        <v>2</v>
      </c>
      <c r="I239" s="5"/>
      <c r="J239" s="5"/>
    </row>
    <row r="240" spans="1:10">
      <c r="A240" s="5"/>
      <c r="B240" s="4">
        <v>45733</v>
      </c>
      <c r="C240" s="5"/>
      <c r="D240" s="5" t="s">
        <v>26</v>
      </c>
      <c r="E240" s="5" t="s">
        <v>40</v>
      </c>
      <c r="F240" s="5">
        <v>340</v>
      </c>
      <c r="G240" s="5">
        <v>750</v>
      </c>
      <c r="H240" s="5">
        <v>3</v>
      </c>
      <c r="I240" s="5"/>
      <c r="J240" s="5"/>
    </row>
    <row r="241" spans="1:10">
      <c r="A241" s="5"/>
      <c r="B241" s="4">
        <v>45733</v>
      </c>
      <c r="C241" s="5"/>
      <c r="D241" s="5" t="s">
        <v>10</v>
      </c>
      <c r="E241" s="5" t="s">
        <v>43</v>
      </c>
      <c r="F241" s="5">
        <v>1700</v>
      </c>
      <c r="G241" s="5">
        <v>2540</v>
      </c>
      <c r="H241" s="5">
        <v>15</v>
      </c>
      <c r="I241" s="5"/>
      <c r="J241" s="5"/>
    </row>
    <row r="242" spans="1:10">
      <c r="A242" s="5"/>
      <c r="B242" s="4">
        <v>45733</v>
      </c>
      <c r="C242" s="5"/>
      <c r="D242" s="5" t="s">
        <v>10</v>
      </c>
      <c r="E242" s="5" t="s">
        <v>21</v>
      </c>
      <c r="F242" s="5">
        <v>0</v>
      </c>
      <c r="G242" s="5">
        <v>360</v>
      </c>
      <c r="H242" s="5">
        <v>0</v>
      </c>
      <c r="I242" s="5"/>
      <c r="J242" s="5"/>
    </row>
    <row r="243" spans="1:10">
      <c r="A243" s="5"/>
      <c r="B243" s="4">
        <v>45733</v>
      </c>
      <c r="C243" s="5"/>
      <c r="D243" s="5" t="s">
        <v>10</v>
      </c>
      <c r="E243" s="5" t="s">
        <v>23</v>
      </c>
      <c r="F243" s="5">
        <v>0</v>
      </c>
      <c r="G243" s="5">
        <v>300</v>
      </c>
      <c r="H243" s="5">
        <v>0</v>
      </c>
      <c r="I243" s="5"/>
      <c r="J243" s="5"/>
    </row>
    <row r="244" spans="1:10">
      <c r="A244" s="5"/>
      <c r="B244" s="4">
        <v>45733</v>
      </c>
      <c r="C244" s="5"/>
      <c r="D244" s="5" t="s">
        <v>10</v>
      </c>
      <c r="E244" s="5" t="s">
        <v>40</v>
      </c>
      <c r="F244" s="5">
        <v>0</v>
      </c>
      <c r="G244" s="5">
        <v>220</v>
      </c>
      <c r="H244" s="5">
        <v>0</v>
      </c>
      <c r="I244" s="5"/>
      <c r="J244" s="5"/>
    </row>
    <row r="245" spans="1:10">
      <c r="A245" s="5"/>
      <c r="B245" s="4">
        <v>45740</v>
      </c>
      <c r="D245" s="5" t="s">
        <v>32</v>
      </c>
      <c r="E245" s="5" t="s">
        <v>40</v>
      </c>
      <c r="F245" s="5">
        <v>0</v>
      </c>
      <c r="G245" s="5">
        <v>600</v>
      </c>
      <c r="H245" s="5">
        <v>0</v>
      </c>
      <c r="I245" s="5"/>
      <c r="J245" s="5"/>
    </row>
    <row r="246" spans="1:10">
      <c r="A246" s="5"/>
      <c r="B246" s="4">
        <v>45740</v>
      </c>
      <c r="C246" s="5"/>
      <c r="D246" s="5" t="s">
        <v>28</v>
      </c>
      <c r="E246" s="5" t="s">
        <v>43</v>
      </c>
      <c r="F246" s="5">
        <v>0</v>
      </c>
      <c r="G246" s="5">
        <v>120</v>
      </c>
      <c r="H246" s="5">
        <v>0</v>
      </c>
      <c r="I246" s="5"/>
      <c r="J246" s="5"/>
    </row>
    <row r="247" spans="1:10">
      <c r="A247" s="5"/>
      <c r="B247" s="4">
        <v>45740</v>
      </c>
      <c r="C247" s="5"/>
      <c r="D247" s="5" t="s">
        <v>36</v>
      </c>
      <c r="E247" s="5" t="s">
        <v>25</v>
      </c>
      <c r="F247" s="5">
        <v>0</v>
      </c>
      <c r="G247" s="5">
        <v>120</v>
      </c>
      <c r="H247" s="5">
        <v>0</v>
      </c>
      <c r="I247" s="5"/>
      <c r="J247" s="5"/>
    </row>
    <row r="248" spans="1:10">
      <c r="A248" s="5"/>
      <c r="B248" s="4">
        <v>45740</v>
      </c>
      <c r="C248" s="5"/>
      <c r="D248" s="5" t="s">
        <v>37</v>
      </c>
      <c r="E248" s="5" t="s">
        <v>40</v>
      </c>
      <c r="F248" s="5">
        <v>860</v>
      </c>
      <c r="G248" s="5">
        <v>1740</v>
      </c>
      <c r="H248" s="5">
        <v>7</v>
      </c>
      <c r="I248" s="5"/>
      <c r="J248" s="5"/>
    </row>
    <row r="249" spans="1:10">
      <c r="A249" s="5"/>
      <c r="B249" s="4">
        <v>45740</v>
      </c>
      <c r="C249" s="5"/>
      <c r="D249" s="5" t="s">
        <v>19</v>
      </c>
      <c r="E249" s="5" t="s">
        <v>23</v>
      </c>
      <c r="F249" s="5">
        <v>100</v>
      </c>
      <c r="G249" s="5">
        <v>610</v>
      </c>
      <c r="H249" s="5">
        <v>1</v>
      </c>
      <c r="I249" s="5"/>
      <c r="J249" s="5"/>
    </row>
    <row r="250" spans="1:10">
      <c r="A250" s="5"/>
      <c r="B250" s="4">
        <v>45740</v>
      </c>
      <c r="C250" s="5"/>
      <c r="D250" s="5" t="s">
        <v>26</v>
      </c>
      <c r="E250" s="5" t="s">
        <v>43</v>
      </c>
      <c r="F250" s="5">
        <v>230</v>
      </c>
      <c r="G250" s="5">
        <v>620</v>
      </c>
      <c r="H250" s="5">
        <v>2</v>
      </c>
      <c r="I250" s="5"/>
      <c r="J250" s="5"/>
    </row>
    <row r="251" spans="1:10">
      <c r="A251" s="5"/>
      <c r="B251" s="4">
        <v>45740</v>
      </c>
      <c r="C251" s="5"/>
      <c r="D251" s="5" t="s">
        <v>26</v>
      </c>
      <c r="E251" s="5" t="s">
        <v>40</v>
      </c>
      <c r="F251" s="5">
        <v>330</v>
      </c>
      <c r="G251" s="5">
        <v>290</v>
      </c>
      <c r="H251" s="5">
        <v>3</v>
      </c>
      <c r="I251" s="5"/>
      <c r="J251" s="5"/>
    </row>
    <row r="252" spans="1:10">
      <c r="A252" s="5"/>
      <c r="B252" s="4">
        <v>45740</v>
      </c>
      <c r="C252" s="5"/>
      <c r="D252" s="5" t="s">
        <v>10</v>
      </c>
      <c r="E252" s="5" t="s">
        <v>43</v>
      </c>
      <c r="F252" s="5">
        <v>980</v>
      </c>
      <c r="G252" s="5">
        <v>3180</v>
      </c>
      <c r="H252" s="5">
        <v>9</v>
      </c>
      <c r="I252" s="5"/>
      <c r="J252" s="5"/>
    </row>
    <row r="253" spans="1:10">
      <c r="A253" s="5"/>
      <c r="B253" s="4">
        <v>45740</v>
      </c>
      <c r="C253" s="5"/>
      <c r="D253" s="5" t="s">
        <v>10</v>
      </c>
      <c r="E253" s="5" t="s">
        <v>21</v>
      </c>
      <c r="F253" s="5">
        <v>270</v>
      </c>
      <c r="G253" s="5">
        <v>270</v>
      </c>
      <c r="H253" s="5">
        <v>2</v>
      </c>
      <c r="I253" s="5"/>
      <c r="J253" s="5"/>
    </row>
    <row r="254" spans="1:10">
      <c r="A254" s="5"/>
      <c r="B254" s="4">
        <v>45740</v>
      </c>
      <c r="C254" s="5"/>
      <c r="D254" s="5" t="s">
        <v>10</v>
      </c>
      <c r="E254" s="5" t="s">
        <v>23</v>
      </c>
      <c r="F254" s="5">
        <v>0</v>
      </c>
      <c r="G254" s="5">
        <v>440</v>
      </c>
      <c r="H254" s="5">
        <v>0</v>
      </c>
      <c r="I254" s="5"/>
      <c r="J254" s="5"/>
    </row>
    <row r="255" spans="1:10">
      <c r="A255" s="5"/>
      <c r="B255" s="4">
        <v>45740</v>
      </c>
      <c r="C255" s="5"/>
      <c r="D255" s="5" t="s">
        <v>10</v>
      </c>
      <c r="E255" s="5" t="s">
        <v>40</v>
      </c>
      <c r="F255" s="5">
        <v>120</v>
      </c>
      <c r="G255" s="5">
        <v>440</v>
      </c>
      <c r="H255" s="5">
        <v>1</v>
      </c>
      <c r="I255" s="5"/>
      <c r="J255" s="5"/>
    </row>
    <row r="256" spans="1:10">
      <c r="A256" s="5"/>
      <c r="B256" s="4">
        <v>45750</v>
      </c>
      <c r="D256" s="5" t="s">
        <v>20</v>
      </c>
      <c r="E256" s="5" t="s">
        <v>21</v>
      </c>
      <c r="F256" s="5">
        <v>140</v>
      </c>
      <c r="G256" s="5">
        <v>600</v>
      </c>
      <c r="H256" s="5">
        <v>1</v>
      </c>
      <c r="I256" s="5"/>
      <c r="J256" s="5"/>
    </row>
    <row r="257" spans="1:10">
      <c r="A257" s="5"/>
      <c r="B257" s="4">
        <v>45750</v>
      </c>
      <c r="C257" s="5"/>
      <c r="D257" s="5" t="s">
        <v>27</v>
      </c>
      <c r="E257" s="5" t="s">
        <v>25</v>
      </c>
      <c r="F257" s="5">
        <v>0</v>
      </c>
      <c r="G257" s="5">
        <v>260</v>
      </c>
      <c r="H257" s="5">
        <v>0</v>
      </c>
      <c r="I257" s="5"/>
      <c r="J257" s="5"/>
    </row>
    <row r="258" spans="1:10">
      <c r="A258" s="5"/>
      <c r="B258" s="4">
        <v>45750</v>
      </c>
      <c r="C258" s="5"/>
      <c r="D258" s="5" t="s">
        <v>32</v>
      </c>
      <c r="E258" s="5" t="s">
        <v>40</v>
      </c>
      <c r="F258" s="5">
        <v>240</v>
      </c>
      <c r="G258" s="5">
        <v>1360</v>
      </c>
      <c r="H258" s="5">
        <v>2</v>
      </c>
      <c r="I258" s="5"/>
      <c r="J258" s="5"/>
    </row>
    <row r="259" spans="1:10">
      <c r="A259" s="5"/>
      <c r="B259" s="4">
        <v>45750</v>
      </c>
      <c r="C259" s="5"/>
      <c r="D259" s="5" t="s">
        <v>28</v>
      </c>
      <c r="E259" s="5" t="s">
        <v>43</v>
      </c>
      <c r="F259" s="5">
        <v>20</v>
      </c>
      <c r="G259" s="5">
        <v>170</v>
      </c>
      <c r="H259" s="5">
        <v>0</v>
      </c>
      <c r="I259" s="5"/>
      <c r="J259" s="5"/>
    </row>
    <row r="260" spans="1:10">
      <c r="A260" s="5"/>
      <c r="B260" s="4">
        <v>45750</v>
      </c>
      <c r="C260" s="5"/>
      <c r="D260" s="5" t="s">
        <v>35</v>
      </c>
      <c r="E260" s="5" t="s">
        <v>25</v>
      </c>
      <c r="F260" s="5">
        <v>0</v>
      </c>
      <c r="G260" s="5">
        <v>80</v>
      </c>
      <c r="H260" s="5">
        <v>0</v>
      </c>
      <c r="I260" s="5"/>
      <c r="J260" s="5"/>
    </row>
    <row r="261" spans="1:10">
      <c r="A261" s="5"/>
      <c r="B261" s="4">
        <v>45750</v>
      </c>
      <c r="C261" s="5"/>
      <c r="D261" s="5" t="s">
        <v>37</v>
      </c>
      <c r="E261" s="5" t="s">
        <v>40</v>
      </c>
      <c r="F261" s="5">
        <v>590</v>
      </c>
      <c r="G261" s="5">
        <v>570</v>
      </c>
      <c r="H261" s="5">
        <v>4</v>
      </c>
      <c r="I261" s="5"/>
      <c r="J261" s="5"/>
    </row>
    <row r="262" spans="1:10">
      <c r="A262" s="5"/>
      <c r="B262" s="4">
        <v>45750</v>
      </c>
      <c r="C262" s="5"/>
      <c r="D262" s="5" t="s">
        <v>26</v>
      </c>
      <c r="E262" s="5" t="s">
        <v>43</v>
      </c>
      <c r="F262" s="5">
        <v>460</v>
      </c>
      <c r="G262" s="5">
        <v>240</v>
      </c>
      <c r="H262" s="5">
        <v>2</v>
      </c>
      <c r="I262" s="5"/>
      <c r="J262" s="5"/>
    </row>
    <row r="263" spans="1:10">
      <c r="A263" s="5"/>
      <c r="B263" s="4">
        <v>45750</v>
      </c>
      <c r="C263" s="5"/>
      <c r="D263" s="5" t="s">
        <v>26</v>
      </c>
      <c r="E263" s="5" t="s">
        <v>40</v>
      </c>
      <c r="F263" s="5">
        <v>320</v>
      </c>
      <c r="G263" s="5">
        <v>280</v>
      </c>
      <c r="H263" s="5">
        <v>2</v>
      </c>
      <c r="I263" s="5"/>
      <c r="J263" s="5"/>
    </row>
    <row r="264" spans="1:10">
      <c r="A264" s="5"/>
      <c r="B264" s="4">
        <v>45750</v>
      </c>
      <c r="C264" s="5"/>
      <c r="D264" s="5" t="s">
        <v>10</v>
      </c>
      <c r="E264" s="5" t="s">
        <v>43</v>
      </c>
      <c r="F264" s="5">
        <v>530</v>
      </c>
      <c r="G264" s="5">
        <v>1110</v>
      </c>
      <c r="H264" s="5">
        <v>5</v>
      </c>
      <c r="I264" s="5"/>
      <c r="J264" s="5"/>
    </row>
    <row r="265" spans="1:10">
      <c r="A265" s="5"/>
      <c r="B265" s="4">
        <v>45750</v>
      </c>
      <c r="C265" s="5"/>
      <c r="D265" s="5" t="s">
        <v>10</v>
      </c>
      <c r="E265" s="5" t="s">
        <v>21</v>
      </c>
      <c r="F265" s="5">
        <v>0</v>
      </c>
      <c r="G265" s="5">
        <v>100</v>
      </c>
      <c r="H265" s="5">
        <v>0</v>
      </c>
      <c r="I265" s="5"/>
      <c r="J265" s="5"/>
    </row>
    <row r="266" spans="1:10">
      <c r="A266" s="5"/>
      <c r="B266" s="4">
        <v>45750</v>
      </c>
      <c r="C266" s="5"/>
      <c r="D266" s="5" t="s">
        <v>10</v>
      </c>
      <c r="E266" s="5" t="s">
        <v>23</v>
      </c>
      <c r="F266" s="5">
        <v>100</v>
      </c>
      <c r="G266" s="5">
        <v>100</v>
      </c>
      <c r="H266" s="5">
        <v>1</v>
      </c>
      <c r="I266" s="5"/>
      <c r="J266" s="5"/>
    </row>
    <row r="267" spans="1:10">
      <c r="A267" s="5"/>
      <c r="B267" s="4">
        <v>45750</v>
      </c>
      <c r="C267" s="5"/>
      <c r="D267" s="5" t="s">
        <v>10</v>
      </c>
      <c r="E267" s="5" t="s">
        <v>40</v>
      </c>
      <c r="F267" s="5">
        <v>0</v>
      </c>
      <c r="G267" s="5">
        <v>80</v>
      </c>
      <c r="H267" s="5">
        <v>0</v>
      </c>
      <c r="I267" s="5"/>
      <c r="J267" s="5"/>
    </row>
    <row r="268" spans="1:10">
      <c r="A268" s="5"/>
      <c r="B268" s="4">
        <v>45757</v>
      </c>
      <c r="D268" s="5" t="s">
        <v>20</v>
      </c>
      <c r="E268" s="5" t="s">
        <v>21</v>
      </c>
      <c r="F268" s="5">
        <v>1660</v>
      </c>
      <c r="G268" s="5">
        <v>830</v>
      </c>
      <c r="H268" s="5">
        <v>13</v>
      </c>
      <c r="I268" s="5"/>
      <c r="J268" s="5"/>
    </row>
    <row r="269" spans="1:10">
      <c r="A269" s="5"/>
      <c r="B269" s="4">
        <v>45757</v>
      </c>
      <c r="C269" s="5"/>
      <c r="D269" s="5" t="s">
        <v>26</v>
      </c>
      <c r="E269" s="5" t="s">
        <v>25</v>
      </c>
      <c r="F269" s="5">
        <v>100</v>
      </c>
      <c r="G269" s="5">
        <v>160</v>
      </c>
      <c r="H269" s="5">
        <v>1</v>
      </c>
      <c r="I269" s="5"/>
      <c r="J269" s="5"/>
    </row>
    <row r="270" spans="1:10">
      <c r="A270" s="5"/>
      <c r="B270" s="4">
        <v>45757</v>
      </c>
      <c r="C270" s="5"/>
      <c r="D270" s="5" t="s">
        <v>26</v>
      </c>
      <c r="E270" s="5" t="s">
        <v>43</v>
      </c>
      <c r="F270" s="5">
        <v>590</v>
      </c>
      <c r="G270" s="5">
        <v>430</v>
      </c>
      <c r="H270" s="5">
        <v>4</v>
      </c>
      <c r="I270" s="5"/>
      <c r="J270" s="5"/>
    </row>
    <row r="271" spans="1:10">
      <c r="A271" s="5"/>
      <c r="B271" s="4">
        <v>45757</v>
      </c>
      <c r="C271" s="5"/>
      <c r="D271" s="5" t="s">
        <v>26</v>
      </c>
      <c r="E271" s="5" t="s">
        <v>40</v>
      </c>
      <c r="F271" s="5">
        <v>190</v>
      </c>
      <c r="G271" s="5">
        <v>150</v>
      </c>
      <c r="H271" s="5">
        <v>1</v>
      </c>
      <c r="I271" s="5"/>
      <c r="J271" s="5"/>
    </row>
    <row r="272" spans="1:10">
      <c r="A272" s="5"/>
      <c r="B272" s="4">
        <v>45757</v>
      </c>
      <c r="C272" s="5"/>
      <c r="D272" s="5" t="s">
        <v>27</v>
      </c>
      <c r="E272" s="5" t="s">
        <v>25</v>
      </c>
      <c r="F272" s="5">
        <v>110</v>
      </c>
      <c r="G272" s="5">
        <v>170</v>
      </c>
      <c r="H272" s="5">
        <v>1</v>
      </c>
      <c r="I272" s="5"/>
      <c r="J272" s="5"/>
    </row>
    <row r="273" spans="1:10">
      <c r="A273" s="5"/>
      <c r="B273" s="4">
        <v>45757</v>
      </c>
      <c r="C273" s="5"/>
      <c r="D273" s="5" t="s">
        <v>32</v>
      </c>
      <c r="E273" s="5" t="s">
        <v>40</v>
      </c>
      <c r="F273" s="5">
        <v>1010</v>
      </c>
      <c r="G273" s="5">
        <v>2020</v>
      </c>
      <c r="H273" s="5">
        <v>9</v>
      </c>
      <c r="I273" s="5"/>
      <c r="J273" s="5"/>
    </row>
    <row r="274" spans="1:10">
      <c r="A274" s="5"/>
      <c r="B274" s="4">
        <v>45757</v>
      </c>
      <c r="C274" s="5"/>
      <c r="D274" s="5" t="s">
        <v>28</v>
      </c>
      <c r="E274" s="5" t="s">
        <v>43</v>
      </c>
      <c r="F274" s="5">
        <v>130</v>
      </c>
      <c r="G274" s="5">
        <v>170</v>
      </c>
      <c r="H274" s="5">
        <v>1</v>
      </c>
      <c r="I274" s="5"/>
      <c r="J274" s="5"/>
    </row>
    <row r="275" spans="1:10">
      <c r="A275" s="5"/>
      <c r="B275" s="4">
        <v>45757</v>
      </c>
      <c r="C275" s="5"/>
      <c r="D275" s="5" t="s">
        <v>35</v>
      </c>
      <c r="E275" s="5" t="s">
        <v>25</v>
      </c>
      <c r="F275" s="5">
        <v>100</v>
      </c>
      <c r="G275" s="5">
        <v>40</v>
      </c>
      <c r="H275" s="5">
        <v>1</v>
      </c>
      <c r="I275" s="5"/>
      <c r="J275" s="5"/>
    </row>
    <row r="276" spans="1:10">
      <c r="A276" s="5"/>
      <c r="B276" s="4">
        <v>45757</v>
      </c>
      <c r="C276" s="5"/>
      <c r="D276" s="5" t="s">
        <v>30</v>
      </c>
      <c r="E276" s="5" t="s">
        <v>25</v>
      </c>
      <c r="F276" s="5">
        <v>340</v>
      </c>
      <c r="G276" s="5">
        <v>320</v>
      </c>
      <c r="H276" s="5">
        <v>3</v>
      </c>
      <c r="I276" s="5"/>
      <c r="J276" s="5"/>
    </row>
    <row r="277" spans="1:10">
      <c r="A277" s="5"/>
      <c r="B277" s="4">
        <v>45757</v>
      </c>
      <c r="C277" s="5"/>
      <c r="D277" s="5" t="s">
        <v>36</v>
      </c>
      <c r="E277" s="5" t="s">
        <v>25</v>
      </c>
      <c r="F277" s="5">
        <v>0</v>
      </c>
      <c r="G277" s="5">
        <v>260</v>
      </c>
      <c r="H277" s="5">
        <v>0</v>
      </c>
      <c r="I277" s="5"/>
      <c r="J277" s="5"/>
    </row>
    <row r="278" spans="1:10">
      <c r="A278" s="5"/>
      <c r="B278" s="4">
        <v>45757</v>
      </c>
      <c r="C278" s="5"/>
      <c r="D278" s="5" t="s">
        <v>37</v>
      </c>
      <c r="E278" s="5" t="s">
        <v>40</v>
      </c>
      <c r="F278" s="5">
        <v>500</v>
      </c>
      <c r="G278" s="5">
        <v>220</v>
      </c>
      <c r="H278" s="5">
        <v>5</v>
      </c>
      <c r="I278" s="5"/>
      <c r="J278" s="5"/>
    </row>
    <row r="279" spans="1:10">
      <c r="A279" s="5"/>
      <c r="B279" s="4">
        <v>45757</v>
      </c>
      <c r="C279" s="5"/>
      <c r="D279" s="5" t="s">
        <v>10</v>
      </c>
      <c r="E279" s="5" t="s">
        <v>43</v>
      </c>
      <c r="F279" s="5">
        <v>420</v>
      </c>
      <c r="G279" s="5">
        <v>1820</v>
      </c>
      <c r="H279" s="5">
        <v>4</v>
      </c>
      <c r="I279" s="5"/>
      <c r="J279" s="5"/>
    </row>
    <row r="280" spans="1:10">
      <c r="A280" s="5"/>
      <c r="B280" s="4">
        <v>45757</v>
      </c>
      <c r="C280" s="5"/>
      <c r="D280" s="5" t="s">
        <v>10</v>
      </c>
      <c r="E280" s="5" t="s">
        <v>21</v>
      </c>
      <c r="F280" s="5">
        <v>110</v>
      </c>
      <c r="G280" s="5">
        <v>150</v>
      </c>
      <c r="H280" s="5">
        <v>1</v>
      </c>
      <c r="I280" s="5"/>
      <c r="J280" s="5"/>
    </row>
    <row r="281" spans="1:10">
      <c r="A281" s="5"/>
      <c r="B281" s="4">
        <v>45757</v>
      </c>
      <c r="C281" s="5"/>
      <c r="D281" s="5" t="s">
        <v>10</v>
      </c>
      <c r="E281" s="5" t="s">
        <v>23</v>
      </c>
      <c r="F281" s="5">
        <v>320</v>
      </c>
      <c r="G281" s="5">
        <v>160</v>
      </c>
      <c r="H281" s="5">
        <v>3</v>
      </c>
      <c r="I281" s="5"/>
      <c r="J281" s="5"/>
    </row>
    <row r="282" spans="1:10">
      <c r="A282" s="5"/>
      <c r="B282" s="4">
        <v>45757</v>
      </c>
      <c r="C282" s="5"/>
      <c r="D282" s="5" t="s">
        <v>10</v>
      </c>
      <c r="E282" s="5" t="s">
        <v>40</v>
      </c>
      <c r="F282" s="5">
        <v>120</v>
      </c>
      <c r="G282" s="5">
        <v>220</v>
      </c>
      <c r="H282" s="5">
        <v>1</v>
      </c>
      <c r="I282" s="5"/>
      <c r="J282" s="5"/>
    </row>
    <row r="283" spans="1:10">
      <c r="A283" s="5"/>
      <c r="B283" s="4">
        <v>45764</v>
      </c>
      <c r="D283" s="5" t="s">
        <v>29</v>
      </c>
      <c r="E283" s="5" t="s">
        <v>25</v>
      </c>
      <c r="F283" s="5">
        <v>0</v>
      </c>
      <c r="G283" s="5">
        <v>630</v>
      </c>
      <c r="H283" s="5">
        <v>0</v>
      </c>
      <c r="I283" s="5"/>
      <c r="J283" s="5"/>
    </row>
    <row r="284" spans="1:10">
      <c r="A284" s="5"/>
      <c r="B284" s="4">
        <v>45764</v>
      </c>
      <c r="C284" s="5"/>
      <c r="D284" s="5" t="s">
        <v>20</v>
      </c>
      <c r="E284" s="5" t="s">
        <v>21</v>
      </c>
      <c r="F284" s="5">
        <v>2800</v>
      </c>
      <c r="G284" s="5">
        <v>1060</v>
      </c>
      <c r="H284" s="5">
        <v>24</v>
      </c>
      <c r="I284" s="5"/>
      <c r="J284" s="5"/>
    </row>
    <row r="285" spans="1:10">
      <c r="A285" s="5"/>
      <c r="B285" s="4">
        <v>45764</v>
      </c>
      <c r="C285" s="5"/>
      <c r="D285" s="5" t="s">
        <v>27</v>
      </c>
      <c r="E285" s="5" t="s">
        <v>25</v>
      </c>
      <c r="F285" s="5">
        <v>310</v>
      </c>
      <c r="G285" s="5">
        <v>190</v>
      </c>
      <c r="H285" s="5">
        <v>4</v>
      </c>
      <c r="I285" s="5"/>
      <c r="J285" s="5"/>
    </row>
    <row r="286" spans="1:10">
      <c r="A286" s="5"/>
      <c r="B286" s="4">
        <v>45764</v>
      </c>
      <c r="C286" s="5"/>
      <c r="D286" s="5" t="s">
        <v>32</v>
      </c>
      <c r="E286" s="5" t="s">
        <v>40</v>
      </c>
      <c r="F286" s="5">
        <v>2270</v>
      </c>
      <c r="G286" s="5">
        <v>1650</v>
      </c>
      <c r="H286" s="5">
        <v>21</v>
      </c>
      <c r="I286" s="5"/>
      <c r="J286" s="5"/>
    </row>
    <row r="287" spans="1:10">
      <c r="A287" s="5"/>
      <c r="B287" s="4">
        <v>45764</v>
      </c>
      <c r="C287" s="5"/>
      <c r="D287" s="5" t="s">
        <v>28</v>
      </c>
      <c r="E287" s="5" t="s">
        <v>43</v>
      </c>
      <c r="F287" s="5">
        <v>450</v>
      </c>
      <c r="G287" s="5">
        <v>260</v>
      </c>
      <c r="H287" s="5">
        <v>4</v>
      </c>
      <c r="I287" s="5"/>
      <c r="J287" s="5"/>
    </row>
    <row r="288" spans="1:10">
      <c r="A288" s="5"/>
      <c r="B288" s="4">
        <v>45764</v>
      </c>
      <c r="C288" s="5"/>
      <c r="D288" s="5" t="s">
        <v>45</v>
      </c>
      <c r="E288" s="5" t="s">
        <v>25</v>
      </c>
      <c r="F288" s="5">
        <v>180</v>
      </c>
      <c r="G288" s="5">
        <v>100</v>
      </c>
      <c r="H288" s="5">
        <v>2</v>
      </c>
      <c r="I288" s="5"/>
      <c r="J288" s="5"/>
    </row>
    <row r="289" spans="1:10">
      <c r="A289" s="5"/>
      <c r="B289" s="4">
        <v>45764</v>
      </c>
      <c r="C289" s="5"/>
      <c r="D289" s="5" t="s">
        <v>30</v>
      </c>
      <c r="E289" s="5" t="s">
        <v>25</v>
      </c>
      <c r="F289" s="5">
        <v>320</v>
      </c>
      <c r="G289" s="5">
        <v>540</v>
      </c>
      <c r="H289" s="5">
        <v>15</v>
      </c>
      <c r="I289" s="5"/>
      <c r="J289" s="5"/>
    </row>
    <row r="290" spans="1:10">
      <c r="A290" s="5"/>
      <c r="B290" s="4">
        <v>45764</v>
      </c>
      <c r="C290" s="5"/>
      <c r="D290" s="5" t="s">
        <v>36</v>
      </c>
      <c r="E290" s="5" t="s">
        <v>25</v>
      </c>
      <c r="F290" s="5">
        <v>80</v>
      </c>
      <c r="G290" s="5">
        <v>240</v>
      </c>
      <c r="H290" s="5">
        <v>0</v>
      </c>
      <c r="I290" s="5"/>
      <c r="J290" s="5"/>
    </row>
    <row r="291" spans="1:10">
      <c r="A291" s="5"/>
      <c r="B291" s="4">
        <v>45764</v>
      </c>
      <c r="C291" s="5"/>
      <c r="D291" s="5" t="s">
        <v>37</v>
      </c>
      <c r="E291" s="5" t="s">
        <v>40</v>
      </c>
      <c r="F291" s="5">
        <v>2890</v>
      </c>
      <c r="G291" s="5">
        <v>290</v>
      </c>
      <c r="H291" s="5">
        <v>22</v>
      </c>
      <c r="I291" s="5"/>
      <c r="J291" s="5"/>
    </row>
    <row r="292" spans="1:10">
      <c r="A292" s="5"/>
      <c r="B292" s="4">
        <v>45764</v>
      </c>
      <c r="C292" s="5"/>
      <c r="D292" s="5" t="s">
        <v>17</v>
      </c>
      <c r="E292" s="5" t="s">
        <v>43</v>
      </c>
      <c r="F292" s="5">
        <v>200</v>
      </c>
      <c r="G292" s="5">
        <v>0</v>
      </c>
      <c r="H292" s="5">
        <v>2</v>
      </c>
      <c r="I292" s="5"/>
      <c r="J292" s="5"/>
    </row>
    <row r="293" spans="1:10">
      <c r="A293" s="5"/>
      <c r="B293" s="4">
        <v>45764</v>
      </c>
      <c r="C293" s="5"/>
      <c r="D293" s="5" t="s">
        <v>19</v>
      </c>
      <c r="E293" s="5" t="s">
        <v>23</v>
      </c>
      <c r="F293" s="5">
        <v>100</v>
      </c>
      <c r="G293" s="5">
        <v>0</v>
      </c>
      <c r="H293" s="5">
        <v>1</v>
      </c>
      <c r="I293" s="5"/>
      <c r="J293" s="5"/>
    </row>
    <row r="294" spans="1:10">
      <c r="A294" s="5"/>
      <c r="B294" s="4">
        <v>45764</v>
      </c>
      <c r="C294" s="5"/>
      <c r="D294" s="5" t="s">
        <v>19</v>
      </c>
      <c r="E294" s="5" t="s">
        <v>43</v>
      </c>
      <c r="F294" s="5">
        <v>240</v>
      </c>
      <c r="G294" s="5">
        <v>330</v>
      </c>
      <c r="H294" s="5">
        <v>2</v>
      </c>
      <c r="I294" s="5"/>
      <c r="J294" s="5"/>
    </row>
    <row r="295" spans="1:10">
      <c r="A295" s="5"/>
      <c r="B295" s="4">
        <v>45764</v>
      </c>
      <c r="C295" s="5"/>
      <c r="D295" s="5" t="s">
        <v>26</v>
      </c>
      <c r="E295" s="5" t="s">
        <v>43</v>
      </c>
      <c r="F295" s="5">
        <v>1150</v>
      </c>
      <c r="G295" s="5">
        <v>520</v>
      </c>
      <c r="H295" s="5">
        <v>10</v>
      </c>
      <c r="I295" s="5"/>
      <c r="J295" s="5"/>
    </row>
    <row r="296" spans="1:10">
      <c r="A296" s="5"/>
      <c r="B296" s="4">
        <v>45764</v>
      </c>
      <c r="C296" s="5"/>
      <c r="D296" s="5" t="s">
        <v>26</v>
      </c>
      <c r="E296" s="5" t="s">
        <v>40</v>
      </c>
      <c r="F296" s="5">
        <v>510</v>
      </c>
      <c r="G296" s="5">
        <v>390</v>
      </c>
      <c r="H296" s="5">
        <v>3</v>
      </c>
      <c r="I296" s="5"/>
      <c r="J296" s="5"/>
    </row>
    <row r="297" spans="1:10">
      <c r="A297" s="5"/>
      <c r="B297" s="4">
        <v>45764</v>
      </c>
      <c r="C297" s="5"/>
      <c r="D297" s="5" t="s">
        <v>10</v>
      </c>
      <c r="E297" s="5" t="s">
        <v>43</v>
      </c>
      <c r="F297" s="5">
        <v>790</v>
      </c>
      <c r="G297" s="5">
        <v>1690</v>
      </c>
      <c r="H297" s="5">
        <v>8</v>
      </c>
      <c r="I297" s="5"/>
      <c r="J297" s="5"/>
    </row>
    <row r="298" spans="1:10">
      <c r="A298" s="5"/>
      <c r="B298" s="4">
        <v>45764</v>
      </c>
      <c r="C298" s="5"/>
      <c r="D298" s="5" t="s">
        <v>10</v>
      </c>
      <c r="E298" s="5" t="s">
        <v>21</v>
      </c>
      <c r="F298" s="5">
        <v>330</v>
      </c>
      <c r="G298" s="5">
        <v>290</v>
      </c>
      <c r="H298" s="5">
        <v>3</v>
      </c>
      <c r="I298" s="5"/>
      <c r="J298" s="5"/>
    </row>
    <row r="299" spans="1:10">
      <c r="A299" s="5"/>
      <c r="B299" s="4">
        <v>45764</v>
      </c>
      <c r="C299" s="5"/>
      <c r="D299" s="5" t="s">
        <v>10</v>
      </c>
      <c r="E299" s="5" t="s">
        <v>23</v>
      </c>
      <c r="F299" s="5">
        <v>320</v>
      </c>
      <c r="G299" s="5">
        <v>590</v>
      </c>
      <c r="H299" s="5">
        <v>3</v>
      </c>
      <c r="I299" s="5"/>
      <c r="J299" s="5"/>
    </row>
    <row r="300" spans="1:10">
      <c r="A300" s="5"/>
      <c r="B300" s="4">
        <v>45764</v>
      </c>
      <c r="C300" s="5"/>
      <c r="D300" s="5" t="s">
        <v>10</v>
      </c>
      <c r="E300" s="5" t="s">
        <v>40</v>
      </c>
      <c r="F300" s="5">
        <v>410</v>
      </c>
      <c r="G300" s="5">
        <v>630</v>
      </c>
      <c r="H300" s="5">
        <v>4</v>
      </c>
      <c r="I300" s="5"/>
      <c r="J300" s="5"/>
    </row>
    <row r="301" spans="1:10">
      <c r="A301" s="5"/>
      <c r="B301" s="4">
        <v>45771</v>
      </c>
      <c r="D301" s="5" t="s">
        <v>29</v>
      </c>
      <c r="E301" s="5" t="s">
        <v>25</v>
      </c>
      <c r="F301" s="5">
        <v>0</v>
      </c>
      <c r="G301" s="5">
        <v>30</v>
      </c>
      <c r="H301" s="5">
        <v>0</v>
      </c>
      <c r="I301" s="5"/>
      <c r="J301" s="5"/>
    </row>
    <row r="302" spans="1:10">
      <c r="A302" s="5"/>
      <c r="B302" s="4">
        <v>45771</v>
      </c>
      <c r="C302" s="5"/>
      <c r="D302" s="5" t="s">
        <v>20</v>
      </c>
      <c r="E302" s="5" t="s">
        <v>21</v>
      </c>
      <c r="F302" s="5">
        <v>3640</v>
      </c>
      <c r="G302" s="5">
        <v>1120</v>
      </c>
      <c r="H302" s="5">
        <v>26</v>
      </c>
      <c r="I302" s="5"/>
      <c r="J302" s="5"/>
    </row>
    <row r="303" spans="1:10">
      <c r="A303" s="5"/>
      <c r="B303" s="4">
        <v>45771</v>
      </c>
      <c r="C303" s="5"/>
      <c r="D303" s="5" t="s">
        <v>27</v>
      </c>
      <c r="E303" s="5" t="s">
        <v>25</v>
      </c>
      <c r="F303" s="5">
        <v>780</v>
      </c>
      <c r="G303" s="5">
        <v>360</v>
      </c>
      <c r="H303" s="5">
        <v>5</v>
      </c>
      <c r="I303" s="5"/>
      <c r="J303" s="5"/>
    </row>
    <row r="304" spans="1:10">
      <c r="A304" s="5"/>
      <c r="B304" s="4">
        <v>45771</v>
      </c>
      <c r="C304" s="5"/>
      <c r="D304" s="5" t="s">
        <v>32</v>
      </c>
      <c r="E304" s="5" t="s">
        <v>40</v>
      </c>
      <c r="F304" s="5">
        <v>5510</v>
      </c>
      <c r="G304" s="5">
        <v>1250</v>
      </c>
      <c r="H304" s="5">
        <v>52</v>
      </c>
      <c r="I304" s="5"/>
      <c r="J304" s="5"/>
    </row>
    <row r="305" spans="1:10">
      <c r="A305" s="5"/>
      <c r="B305" s="4">
        <v>45771</v>
      </c>
      <c r="C305" s="5"/>
      <c r="D305" s="5" t="s">
        <v>28</v>
      </c>
      <c r="E305" s="5" t="s">
        <v>43</v>
      </c>
      <c r="F305" s="5">
        <v>590</v>
      </c>
      <c r="G305" s="5">
        <v>260</v>
      </c>
      <c r="H305" s="5">
        <v>5</v>
      </c>
      <c r="I305" s="5"/>
      <c r="J305" s="5"/>
    </row>
    <row r="306" spans="1:10">
      <c r="A306" s="5"/>
      <c r="B306" s="4">
        <v>45771</v>
      </c>
      <c r="C306" s="5"/>
      <c r="D306" s="5" t="s">
        <v>45</v>
      </c>
      <c r="E306" s="5" t="s">
        <v>25</v>
      </c>
      <c r="F306" s="5">
        <v>240</v>
      </c>
      <c r="G306" s="5">
        <v>280</v>
      </c>
      <c r="H306" s="5">
        <v>2</v>
      </c>
      <c r="I306" s="5"/>
      <c r="J306" s="5"/>
    </row>
    <row r="307" spans="1:10">
      <c r="A307" s="5"/>
      <c r="B307" s="4">
        <v>45771</v>
      </c>
      <c r="C307" s="5"/>
      <c r="D307" s="5" t="s">
        <v>30</v>
      </c>
      <c r="E307" s="5" t="s">
        <v>25</v>
      </c>
      <c r="F307" s="5">
        <v>1210</v>
      </c>
      <c r="G307" s="5">
        <v>340</v>
      </c>
      <c r="H307" s="5">
        <v>12</v>
      </c>
      <c r="I307" s="5"/>
      <c r="J307" s="5"/>
    </row>
    <row r="308" spans="1:10">
      <c r="A308" s="5"/>
      <c r="B308" s="4">
        <v>45771</v>
      </c>
      <c r="C308" s="5"/>
      <c r="D308" s="5" t="s">
        <v>36</v>
      </c>
      <c r="E308" s="5" t="s">
        <v>25</v>
      </c>
      <c r="F308" s="5">
        <v>0</v>
      </c>
      <c r="G308" s="5">
        <v>320</v>
      </c>
      <c r="H308" s="5">
        <v>0</v>
      </c>
      <c r="I308" s="5"/>
      <c r="J308" s="5"/>
    </row>
    <row r="309" spans="1:10">
      <c r="A309" s="5"/>
      <c r="B309" s="4">
        <v>45771</v>
      </c>
      <c r="C309" s="5"/>
      <c r="D309" s="5" t="s">
        <v>37</v>
      </c>
      <c r="E309" s="5" t="s">
        <v>40</v>
      </c>
      <c r="F309" s="5">
        <v>2510</v>
      </c>
      <c r="G309" s="5">
        <v>10</v>
      </c>
      <c r="H309" s="5">
        <v>18</v>
      </c>
      <c r="I309" s="5"/>
      <c r="J309" s="5"/>
    </row>
    <row r="310" spans="1:10">
      <c r="A310" s="5"/>
      <c r="B310" s="4">
        <v>45771</v>
      </c>
      <c r="C310" s="5"/>
      <c r="D310" s="5" t="s">
        <v>17</v>
      </c>
      <c r="E310" s="5" t="s">
        <v>43</v>
      </c>
      <c r="F310" s="5">
        <v>100</v>
      </c>
      <c r="G310" s="5">
        <v>60</v>
      </c>
      <c r="H310" s="5">
        <v>1</v>
      </c>
      <c r="I310" s="5"/>
      <c r="J310" s="5"/>
    </row>
    <row r="311" spans="1:10">
      <c r="A311" s="5"/>
      <c r="B311" s="4">
        <v>45771</v>
      </c>
      <c r="C311" s="5"/>
      <c r="D311" s="5" t="s">
        <v>19</v>
      </c>
      <c r="E311" s="5" t="s">
        <v>23</v>
      </c>
      <c r="F311" s="5">
        <v>1840</v>
      </c>
      <c r="G311" s="5">
        <v>230</v>
      </c>
      <c r="H311" s="5">
        <v>17</v>
      </c>
      <c r="I311" s="5"/>
      <c r="J311" s="5"/>
    </row>
    <row r="312" spans="1:10">
      <c r="A312" s="5"/>
      <c r="B312" s="4">
        <v>45771</v>
      </c>
      <c r="C312" s="5"/>
      <c r="D312" s="5" t="s">
        <v>26</v>
      </c>
      <c r="E312" s="5" t="s">
        <v>43</v>
      </c>
      <c r="F312" s="5">
        <v>1730</v>
      </c>
      <c r="G312" s="5">
        <v>700</v>
      </c>
      <c r="H312" s="5">
        <v>16</v>
      </c>
      <c r="I312" s="5"/>
      <c r="J312" s="5"/>
    </row>
    <row r="313" spans="1:10">
      <c r="A313" s="5"/>
      <c r="B313" s="4">
        <v>45771</v>
      </c>
      <c r="C313" s="5"/>
      <c r="D313" s="5" t="s">
        <v>26</v>
      </c>
      <c r="E313" s="5" t="s">
        <v>40</v>
      </c>
      <c r="F313" s="5">
        <v>780</v>
      </c>
      <c r="G313" s="5">
        <v>1250</v>
      </c>
      <c r="H313" s="5">
        <v>4</v>
      </c>
      <c r="I313" s="5"/>
      <c r="J313" s="5"/>
    </row>
    <row r="314" spans="1:10">
      <c r="A314" s="5"/>
      <c r="B314" s="4">
        <v>45771</v>
      </c>
      <c r="C314" s="5"/>
      <c r="D314" s="5" t="s">
        <v>10</v>
      </c>
      <c r="E314" s="5" t="s">
        <v>43</v>
      </c>
      <c r="F314" s="5">
        <v>0</v>
      </c>
      <c r="G314" s="5">
        <v>1660</v>
      </c>
      <c r="H314" s="5">
        <v>0</v>
      </c>
      <c r="I314" s="5"/>
      <c r="J314" s="5"/>
    </row>
    <row r="315" spans="1:10">
      <c r="A315" s="5"/>
      <c r="B315" s="4">
        <v>45771</v>
      </c>
      <c r="C315" s="5"/>
      <c r="D315" s="5" t="s">
        <v>10</v>
      </c>
      <c r="E315" s="5" t="s">
        <v>21</v>
      </c>
      <c r="F315" s="5">
        <v>320</v>
      </c>
      <c r="G315" s="5">
        <v>240</v>
      </c>
      <c r="H315" s="5">
        <v>3</v>
      </c>
      <c r="I315" s="5"/>
      <c r="J315" s="5"/>
    </row>
    <row r="316" spans="1:10">
      <c r="A316" s="5"/>
      <c r="B316" s="4">
        <v>45771</v>
      </c>
      <c r="C316" s="5"/>
      <c r="D316" s="5" t="s">
        <v>10</v>
      </c>
      <c r="E316" s="5" t="s">
        <v>23</v>
      </c>
      <c r="F316" s="5">
        <v>320</v>
      </c>
      <c r="G316" s="5">
        <v>700</v>
      </c>
      <c r="H316" s="5">
        <v>3</v>
      </c>
      <c r="I316" s="5"/>
      <c r="J316" s="5"/>
    </row>
    <row r="317" spans="1:10">
      <c r="A317" s="5"/>
      <c r="B317" s="4">
        <v>45771</v>
      </c>
      <c r="C317" s="5"/>
      <c r="D317" s="5" t="s">
        <v>10</v>
      </c>
      <c r="E317" s="5" t="s">
        <v>40</v>
      </c>
      <c r="F317" s="5">
        <v>940</v>
      </c>
      <c r="G317" s="5">
        <v>580</v>
      </c>
      <c r="H317" s="5">
        <v>9</v>
      </c>
      <c r="I317" s="5"/>
      <c r="J317" s="5"/>
    </row>
    <row r="318" spans="1:10">
      <c r="A318" s="5"/>
      <c r="B318" s="4">
        <v>45777</v>
      </c>
      <c r="D318" s="5" t="s">
        <v>29</v>
      </c>
      <c r="E318" s="5" t="s">
        <v>25</v>
      </c>
      <c r="F318" s="5">
        <v>400</v>
      </c>
      <c r="G318" s="5">
        <v>500</v>
      </c>
      <c r="H318" s="5">
        <v>4</v>
      </c>
      <c r="I318" s="5"/>
      <c r="J318" s="5"/>
    </row>
    <row r="319" spans="1:10">
      <c r="A319" s="5"/>
      <c r="B319" s="4">
        <v>45777</v>
      </c>
      <c r="C319" s="5"/>
      <c r="D319" s="5" t="s">
        <v>20</v>
      </c>
      <c r="E319" s="5" t="s">
        <v>44</v>
      </c>
      <c r="F319" s="5">
        <v>2330</v>
      </c>
      <c r="G319" s="5">
        <v>1170</v>
      </c>
      <c r="H319" s="5">
        <v>25</v>
      </c>
      <c r="I319" s="5"/>
      <c r="J319" s="5"/>
    </row>
    <row r="320" spans="1:10">
      <c r="A320" s="5"/>
      <c r="B320" s="4">
        <v>45777</v>
      </c>
      <c r="C320" s="5"/>
      <c r="D320" s="5" t="s">
        <v>27</v>
      </c>
      <c r="E320" s="5" t="s">
        <v>25</v>
      </c>
      <c r="F320" s="5">
        <v>420</v>
      </c>
      <c r="G320" s="5">
        <v>200</v>
      </c>
      <c r="H320" s="5">
        <v>4</v>
      </c>
      <c r="I320" s="5"/>
      <c r="J320" s="5"/>
    </row>
    <row r="321" spans="1:10">
      <c r="A321" s="5"/>
      <c r="B321" s="4">
        <v>45777</v>
      </c>
      <c r="C321" s="5"/>
      <c r="D321" s="5" t="s">
        <v>32</v>
      </c>
      <c r="E321" s="5" t="s">
        <v>40</v>
      </c>
      <c r="F321" s="5">
        <v>2530</v>
      </c>
      <c r="G321" s="5">
        <v>810</v>
      </c>
      <c r="H321" s="5">
        <v>23</v>
      </c>
      <c r="I321" s="5"/>
      <c r="J321" s="5"/>
    </row>
    <row r="322" spans="1:10">
      <c r="A322" s="5"/>
      <c r="B322" s="4">
        <v>45777</v>
      </c>
      <c r="C322" s="5"/>
      <c r="D322" s="5" t="s">
        <v>28</v>
      </c>
      <c r="E322" s="5" t="s">
        <v>43</v>
      </c>
      <c r="F322" s="5">
        <v>500</v>
      </c>
      <c r="G322" s="5">
        <v>170</v>
      </c>
      <c r="H322" s="5">
        <v>5</v>
      </c>
      <c r="I322" s="5"/>
      <c r="J322" s="5"/>
    </row>
    <row r="323" spans="1:10">
      <c r="A323" s="5"/>
      <c r="B323" s="4">
        <v>45777</v>
      </c>
      <c r="C323" s="5"/>
      <c r="D323" s="5" t="s">
        <v>45</v>
      </c>
      <c r="E323" s="5" t="s">
        <v>25</v>
      </c>
      <c r="F323" s="5">
        <v>140</v>
      </c>
      <c r="G323" s="5">
        <v>140</v>
      </c>
      <c r="H323" s="5">
        <v>1</v>
      </c>
      <c r="I323" s="5"/>
      <c r="J323" s="5"/>
    </row>
    <row r="324" spans="1:10">
      <c r="A324" s="5"/>
      <c r="B324" s="4">
        <v>45777</v>
      </c>
      <c r="C324" s="5"/>
      <c r="D324" s="5" t="s">
        <v>30</v>
      </c>
      <c r="E324" s="5" t="s">
        <v>25</v>
      </c>
      <c r="F324" s="5">
        <v>610</v>
      </c>
      <c r="G324" s="5">
        <v>90</v>
      </c>
      <c r="H324" s="5">
        <v>6</v>
      </c>
      <c r="I324" s="5"/>
      <c r="J324" s="5"/>
    </row>
    <row r="325" spans="1:10">
      <c r="A325" s="5"/>
      <c r="B325" s="4">
        <v>45777</v>
      </c>
      <c r="C325" s="5"/>
      <c r="D325" s="5" t="s">
        <v>36</v>
      </c>
      <c r="E325" s="5" t="s">
        <v>25</v>
      </c>
      <c r="F325" s="5">
        <v>90</v>
      </c>
      <c r="G325" s="5">
        <v>170</v>
      </c>
      <c r="H325" s="5">
        <v>0</v>
      </c>
      <c r="I325" s="5"/>
      <c r="J325" s="5"/>
    </row>
    <row r="326" spans="1:10">
      <c r="A326" s="5"/>
      <c r="B326" s="4">
        <v>45777</v>
      </c>
      <c r="C326" s="5"/>
      <c r="D326" s="5" t="s">
        <v>37</v>
      </c>
      <c r="E326" s="5" t="s">
        <v>40</v>
      </c>
      <c r="F326" s="5">
        <v>1530</v>
      </c>
      <c r="G326" s="5">
        <v>30</v>
      </c>
      <c r="H326" s="5">
        <v>15</v>
      </c>
      <c r="I326" s="5"/>
      <c r="J326" s="5"/>
    </row>
    <row r="327" spans="1:10">
      <c r="A327" s="5"/>
      <c r="B327" s="4">
        <v>45777</v>
      </c>
      <c r="C327" s="5"/>
      <c r="D327" s="5" t="s">
        <v>19</v>
      </c>
      <c r="E327" s="5" t="s">
        <v>23</v>
      </c>
      <c r="F327" s="5">
        <v>2250</v>
      </c>
      <c r="G327" s="5">
        <v>240</v>
      </c>
      <c r="H327" s="5">
        <v>21</v>
      </c>
      <c r="I327" s="5"/>
      <c r="J327" s="5"/>
    </row>
    <row r="328" spans="1:10">
      <c r="A328" s="5"/>
      <c r="B328" s="4">
        <v>45777</v>
      </c>
      <c r="C328" s="5"/>
      <c r="D328" s="5" t="s">
        <v>19</v>
      </c>
      <c r="E328" s="5" t="s">
        <v>43</v>
      </c>
      <c r="F328" s="5">
        <v>1600</v>
      </c>
      <c r="G328" s="5">
        <v>860</v>
      </c>
      <c r="H328" s="5">
        <v>15</v>
      </c>
      <c r="I328" s="5"/>
      <c r="J328" s="5"/>
    </row>
    <row r="329" spans="1:10">
      <c r="A329" s="5"/>
      <c r="B329" s="4">
        <v>45777</v>
      </c>
      <c r="C329" s="5"/>
      <c r="D329" s="5" t="s">
        <v>26</v>
      </c>
      <c r="E329" s="5" t="s">
        <v>43</v>
      </c>
      <c r="F329" s="5">
        <v>880</v>
      </c>
      <c r="G329" s="5">
        <v>670</v>
      </c>
      <c r="H329" s="5">
        <v>8</v>
      </c>
      <c r="I329" s="5"/>
      <c r="J329" s="5"/>
    </row>
    <row r="330" spans="1:10">
      <c r="A330" s="5"/>
      <c r="B330" s="4">
        <v>45777</v>
      </c>
      <c r="C330" s="5"/>
      <c r="D330" s="5" t="s">
        <v>26</v>
      </c>
      <c r="E330" s="5" t="s">
        <v>40</v>
      </c>
      <c r="F330" s="5">
        <v>460</v>
      </c>
      <c r="G330" s="5">
        <v>0</v>
      </c>
      <c r="H330" s="5">
        <v>2</v>
      </c>
      <c r="I330" s="5"/>
      <c r="J330" s="5"/>
    </row>
    <row r="331" spans="1:10">
      <c r="A331" s="5"/>
      <c r="B331" s="4">
        <v>45777</v>
      </c>
      <c r="C331" s="5"/>
      <c r="D331" s="5" t="s">
        <v>10</v>
      </c>
      <c r="E331" s="5" t="s">
        <v>43</v>
      </c>
      <c r="F331" s="5">
        <v>100</v>
      </c>
      <c r="G331" s="5">
        <v>400</v>
      </c>
      <c r="H331" s="5">
        <v>1</v>
      </c>
      <c r="I331" s="5"/>
      <c r="J331" s="5"/>
    </row>
    <row r="332" spans="1:10">
      <c r="A332" s="5"/>
      <c r="B332" s="4">
        <v>45777</v>
      </c>
      <c r="C332" s="5"/>
      <c r="D332" s="5" t="s">
        <v>10</v>
      </c>
      <c r="E332" s="5" t="s">
        <v>44</v>
      </c>
      <c r="F332" s="5">
        <v>100</v>
      </c>
      <c r="G332" s="5">
        <v>80</v>
      </c>
      <c r="H332" s="5">
        <v>1</v>
      </c>
      <c r="I332" s="5"/>
      <c r="J332" s="5"/>
    </row>
    <row r="333" spans="1:10">
      <c r="A333" s="5"/>
      <c r="B333" s="4">
        <v>45777</v>
      </c>
      <c r="C333" s="5"/>
      <c r="D333" s="5" t="s">
        <v>10</v>
      </c>
      <c r="E333" s="5" t="s">
        <v>23</v>
      </c>
      <c r="F333" s="5">
        <v>140</v>
      </c>
      <c r="G333" s="5">
        <v>600</v>
      </c>
      <c r="H333" s="5">
        <v>6</v>
      </c>
      <c r="I333" s="5"/>
      <c r="J333" s="5"/>
    </row>
    <row r="334" spans="1:10">
      <c r="A334" s="5"/>
      <c r="B334" s="4">
        <v>45777</v>
      </c>
      <c r="C334" s="5"/>
      <c r="D334" s="5" t="s">
        <v>10</v>
      </c>
      <c r="E334" s="5" t="s">
        <v>40</v>
      </c>
      <c r="F334" s="5">
        <v>900</v>
      </c>
      <c r="G334" s="5">
        <v>780</v>
      </c>
      <c r="H334" s="5">
        <v>6</v>
      </c>
      <c r="I334" s="5"/>
      <c r="J334" s="5"/>
    </row>
    <row r="335" spans="1:10">
      <c r="A335" s="5"/>
      <c r="B335" s="4">
        <v>45778</v>
      </c>
      <c r="D335" s="5" t="s">
        <v>29</v>
      </c>
      <c r="E335" s="5" t="s">
        <v>25</v>
      </c>
      <c r="F335" s="5">
        <v>160</v>
      </c>
      <c r="G335" s="5">
        <v>260</v>
      </c>
      <c r="H335" s="5">
        <v>1</v>
      </c>
      <c r="I335" s="5"/>
      <c r="J335" s="5"/>
    </row>
    <row r="336" spans="1:10">
      <c r="A336" s="5"/>
      <c r="B336" s="4">
        <v>45778</v>
      </c>
      <c r="C336" s="5"/>
      <c r="D336" s="5" t="s">
        <v>20</v>
      </c>
      <c r="E336" s="5" t="s">
        <v>44</v>
      </c>
      <c r="F336" s="5">
        <v>2180</v>
      </c>
      <c r="G336" s="5">
        <v>1000</v>
      </c>
      <c r="H336" s="5">
        <v>17</v>
      </c>
      <c r="I336" s="5"/>
      <c r="J336" s="5"/>
    </row>
    <row r="337" spans="1:10">
      <c r="A337" s="5"/>
      <c r="B337" s="4">
        <v>45778</v>
      </c>
      <c r="C337" s="5"/>
      <c r="D337" s="5" t="s">
        <v>32</v>
      </c>
      <c r="E337" s="5" t="s">
        <v>40</v>
      </c>
      <c r="F337" s="5">
        <v>910</v>
      </c>
      <c r="G337" s="5">
        <v>70</v>
      </c>
      <c r="H337" s="5">
        <v>7</v>
      </c>
      <c r="I337" s="5"/>
      <c r="J337" s="5"/>
    </row>
    <row r="338" spans="1:10">
      <c r="A338" s="5"/>
      <c r="B338" s="4">
        <v>45778</v>
      </c>
      <c r="C338" s="5"/>
      <c r="D338" s="5" t="s">
        <v>28</v>
      </c>
      <c r="E338" s="5" t="s">
        <v>43</v>
      </c>
      <c r="F338" s="5">
        <v>210</v>
      </c>
      <c r="G338" s="5">
        <v>30</v>
      </c>
      <c r="H338" s="5">
        <v>2</v>
      </c>
      <c r="I338" s="5"/>
      <c r="J338" s="5"/>
    </row>
    <row r="339" spans="1:10">
      <c r="A339" s="5"/>
      <c r="B339" s="4">
        <v>45778</v>
      </c>
      <c r="C339" s="5"/>
      <c r="D339" s="5" t="s">
        <v>45</v>
      </c>
      <c r="E339" s="5" t="s">
        <v>25</v>
      </c>
      <c r="F339" s="5">
        <v>300</v>
      </c>
      <c r="G339" s="5">
        <v>80</v>
      </c>
      <c r="H339" s="5">
        <v>3</v>
      </c>
      <c r="I339" s="5"/>
      <c r="J339" s="5"/>
    </row>
    <row r="340" spans="1:10">
      <c r="A340" s="5"/>
      <c r="B340" s="4">
        <v>45778</v>
      </c>
      <c r="C340" s="5"/>
      <c r="D340" s="5" t="s">
        <v>30</v>
      </c>
      <c r="E340" s="5" t="s">
        <v>25</v>
      </c>
      <c r="F340" s="5">
        <v>790</v>
      </c>
      <c r="G340" s="5">
        <v>250</v>
      </c>
      <c r="H340" s="5">
        <v>8</v>
      </c>
      <c r="I340" s="5"/>
      <c r="J340" s="5"/>
    </row>
    <row r="341" spans="1:10">
      <c r="A341" s="5"/>
      <c r="B341" s="4">
        <v>45778</v>
      </c>
      <c r="C341" s="5"/>
      <c r="D341" s="5" t="s">
        <v>36</v>
      </c>
      <c r="E341" s="5" t="s">
        <v>25</v>
      </c>
      <c r="F341" s="5">
        <v>120</v>
      </c>
      <c r="G341" s="5">
        <v>160</v>
      </c>
      <c r="H341" s="5">
        <v>1</v>
      </c>
      <c r="I341" s="5"/>
      <c r="J341" s="5"/>
    </row>
    <row r="342" spans="1:10">
      <c r="A342" s="5"/>
      <c r="B342" s="4">
        <v>45778</v>
      </c>
      <c r="C342" s="5"/>
      <c r="D342" s="5" t="s">
        <v>37</v>
      </c>
      <c r="E342" s="5" t="s">
        <v>40</v>
      </c>
      <c r="F342" s="5">
        <v>600</v>
      </c>
      <c r="G342" s="5">
        <v>0</v>
      </c>
      <c r="H342" s="5">
        <v>4</v>
      </c>
      <c r="I342" s="5"/>
      <c r="J342" s="5"/>
    </row>
    <row r="343" spans="1:10">
      <c r="A343" s="5"/>
      <c r="B343" s="4">
        <v>45778</v>
      </c>
      <c r="C343" s="5"/>
      <c r="D343" s="5" t="s">
        <v>17</v>
      </c>
      <c r="E343" s="5" t="s">
        <v>43</v>
      </c>
      <c r="F343" s="5">
        <v>0</v>
      </c>
      <c r="G343" s="5">
        <v>150</v>
      </c>
      <c r="H343" s="5">
        <v>0</v>
      </c>
      <c r="I343" s="5"/>
      <c r="J343" s="5"/>
    </row>
    <row r="344" spans="1:10">
      <c r="A344" s="5"/>
      <c r="B344" s="4">
        <v>45778</v>
      </c>
      <c r="C344" s="5"/>
      <c r="D344" s="5" t="s">
        <v>26</v>
      </c>
      <c r="E344" s="5" t="s">
        <v>43</v>
      </c>
      <c r="F344" s="5">
        <v>450</v>
      </c>
      <c r="G344" s="5">
        <v>140</v>
      </c>
      <c r="H344" s="5">
        <v>4</v>
      </c>
      <c r="I344" s="5"/>
      <c r="J344" s="5"/>
    </row>
    <row r="345" spans="1:10">
      <c r="A345" s="5"/>
      <c r="B345" s="4">
        <v>45778</v>
      </c>
      <c r="C345" s="5"/>
      <c r="D345" s="5" t="s">
        <v>26</v>
      </c>
      <c r="E345" s="5" t="s">
        <v>40</v>
      </c>
      <c r="F345" s="5">
        <v>200</v>
      </c>
      <c r="G345" s="5">
        <v>120</v>
      </c>
      <c r="H345" s="5">
        <v>2</v>
      </c>
      <c r="I345" s="5"/>
      <c r="J345" s="5"/>
    </row>
    <row r="346" spans="1:10">
      <c r="A346" s="5"/>
      <c r="B346" s="4">
        <v>45778</v>
      </c>
      <c r="C346" s="5"/>
      <c r="D346" s="5" t="s">
        <v>10</v>
      </c>
      <c r="E346" s="5" t="s">
        <v>44</v>
      </c>
      <c r="F346" s="5">
        <v>140</v>
      </c>
      <c r="G346" s="5">
        <v>160</v>
      </c>
      <c r="H346" s="5">
        <v>1</v>
      </c>
      <c r="I346" s="5"/>
      <c r="J346" s="5"/>
    </row>
    <row r="347" spans="1:10">
      <c r="A347" s="5"/>
      <c r="B347" s="4">
        <v>45778</v>
      </c>
      <c r="C347" s="5"/>
      <c r="D347" s="5" t="s">
        <v>10</v>
      </c>
      <c r="E347" s="5" t="s">
        <v>23</v>
      </c>
      <c r="F347" s="5">
        <v>120</v>
      </c>
      <c r="G347" s="5">
        <v>200</v>
      </c>
      <c r="H347" s="5">
        <v>1</v>
      </c>
      <c r="I347" s="5"/>
      <c r="J347" s="5"/>
    </row>
    <row r="348" spans="1:10">
      <c r="A348" s="5"/>
      <c r="B348" s="4">
        <v>45778</v>
      </c>
      <c r="C348" s="5"/>
      <c r="D348" s="5" t="s">
        <v>10</v>
      </c>
      <c r="E348" s="5" t="s">
        <v>40</v>
      </c>
      <c r="F348" s="5">
        <v>340</v>
      </c>
      <c r="G348" s="5">
        <v>220</v>
      </c>
      <c r="H348" s="5">
        <v>3</v>
      </c>
      <c r="I348" s="5"/>
      <c r="J348" s="5"/>
    </row>
    <row r="349" spans="1:10">
      <c r="A349" s="5"/>
      <c r="B349" s="4">
        <v>45784</v>
      </c>
      <c r="D349" s="5" t="s">
        <v>29</v>
      </c>
      <c r="E349" s="5" t="s">
        <v>25</v>
      </c>
      <c r="F349" s="5">
        <v>120</v>
      </c>
      <c r="G349" s="5">
        <v>0</v>
      </c>
      <c r="H349" s="5">
        <v>1</v>
      </c>
      <c r="I349" s="5"/>
      <c r="J349" s="5"/>
    </row>
    <row r="350" spans="1:10">
      <c r="A350" s="5"/>
      <c r="B350" s="4">
        <v>45784</v>
      </c>
      <c r="C350" s="5"/>
      <c r="D350" s="5" t="s">
        <v>20</v>
      </c>
      <c r="E350" s="5" t="s">
        <v>44</v>
      </c>
      <c r="F350" s="5">
        <v>2700</v>
      </c>
      <c r="G350" s="5">
        <v>2260</v>
      </c>
      <c r="H350" s="5">
        <v>22</v>
      </c>
      <c r="I350" s="5"/>
      <c r="J350" s="5"/>
    </row>
    <row r="351" spans="1:10">
      <c r="A351" s="5"/>
      <c r="B351" s="4">
        <v>45784</v>
      </c>
      <c r="C351" s="5"/>
      <c r="D351" s="5" t="s">
        <v>27</v>
      </c>
      <c r="E351" s="5" t="s">
        <v>25</v>
      </c>
      <c r="F351" s="5">
        <v>470</v>
      </c>
      <c r="G351" s="5">
        <v>210</v>
      </c>
      <c r="H351" s="5">
        <v>4</v>
      </c>
      <c r="I351" s="5"/>
      <c r="J351" s="5"/>
    </row>
    <row r="352" spans="1:10">
      <c r="A352" s="5"/>
      <c r="B352" s="4">
        <v>45784</v>
      </c>
      <c r="C352" s="5"/>
      <c r="D352" s="5" t="s">
        <v>32</v>
      </c>
      <c r="E352" s="5" t="s">
        <v>40</v>
      </c>
      <c r="F352" s="5">
        <v>3100</v>
      </c>
      <c r="G352" s="5">
        <v>510</v>
      </c>
      <c r="H352" s="5">
        <v>31</v>
      </c>
      <c r="I352" s="5"/>
      <c r="J352" s="5"/>
    </row>
    <row r="353" spans="1:10">
      <c r="A353" s="5"/>
      <c r="B353" s="4">
        <v>45784</v>
      </c>
      <c r="C353" s="5"/>
      <c r="D353" s="5" t="s">
        <v>28</v>
      </c>
      <c r="E353" s="5" t="s">
        <v>43</v>
      </c>
      <c r="F353" s="5">
        <v>470</v>
      </c>
      <c r="G353" s="5">
        <v>880</v>
      </c>
      <c r="H353" s="5">
        <v>3</v>
      </c>
      <c r="I353" s="5"/>
      <c r="J353" s="5"/>
    </row>
    <row r="354" spans="1:10">
      <c r="A354" s="5"/>
      <c r="B354" s="4">
        <v>45784</v>
      </c>
      <c r="C354" s="5"/>
      <c r="D354" s="5" t="s">
        <v>45</v>
      </c>
      <c r="E354" s="5" t="s">
        <v>25</v>
      </c>
      <c r="F354" s="5">
        <v>420</v>
      </c>
      <c r="G354" s="5">
        <v>80</v>
      </c>
      <c r="H354" s="5">
        <v>4</v>
      </c>
      <c r="I354" s="5"/>
      <c r="J354" s="5"/>
    </row>
    <row r="355" spans="1:10">
      <c r="A355" s="5"/>
      <c r="B355" s="4">
        <v>45784</v>
      </c>
      <c r="C355" s="5"/>
      <c r="D355" s="5" t="s">
        <v>30</v>
      </c>
      <c r="E355" s="5" t="s">
        <v>25</v>
      </c>
      <c r="F355" s="5">
        <v>1230</v>
      </c>
      <c r="G355" s="5">
        <v>230</v>
      </c>
      <c r="H355" s="5">
        <v>12</v>
      </c>
      <c r="I355" s="5"/>
      <c r="J355" s="5"/>
    </row>
    <row r="356" spans="1:10">
      <c r="A356" s="5"/>
      <c r="B356" s="4">
        <v>45784</v>
      </c>
      <c r="C356" s="5"/>
      <c r="D356" s="5" t="s">
        <v>36</v>
      </c>
      <c r="E356" s="5" t="s">
        <v>25</v>
      </c>
      <c r="F356" s="5">
        <v>450</v>
      </c>
      <c r="G356" s="5">
        <v>290</v>
      </c>
      <c r="H356" s="5">
        <v>4</v>
      </c>
      <c r="I356" s="5"/>
      <c r="J356" s="5"/>
    </row>
    <row r="357" spans="1:10">
      <c r="A357" s="5"/>
      <c r="B357" s="4">
        <v>45784</v>
      </c>
      <c r="C357" s="5"/>
      <c r="D357" s="5" t="s">
        <v>37</v>
      </c>
      <c r="E357" s="5" t="s">
        <v>40</v>
      </c>
      <c r="F357" s="5">
        <v>1020</v>
      </c>
      <c r="G357" s="5">
        <v>0</v>
      </c>
      <c r="H357" s="5">
        <v>7</v>
      </c>
      <c r="I357" s="5"/>
      <c r="J357" s="5"/>
    </row>
    <row r="358" spans="1:10">
      <c r="A358" s="5"/>
      <c r="B358" s="4">
        <v>45784</v>
      </c>
      <c r="C358" s="5"/>
      <c r="D358" s="5" t="s">
        <v>13</v>
      </c>
      <c r="E358" s="5" t="s">
        <v>25</v>
      </c>
      <c r="F358" s="5">
        <v>450</v>
      </c>
      <c r="G358" s="5">
        <v>350</v>
      </c>
      <c r="H358" s="5">
        <v>4</v>
      </c>
      <c r="I358" s="5"/>
      <c r="J358" s="5"/>
    </row>
    <row r="359" spans="1:10">
      <c r="A359" s="5"/>
      <c r="B359" s="4">
        <v>45784</v>
      </c>
      <c r="C359" s="5"/>
      <c r="D359" s="5" t="s">
        <v>19</v>
      </c>
      <c r="E359" s="5" t="s">
        <v>23</v>
      </c>
      <c r="F359" s="5">
        <v>5420</v>
      </c>
      <c r="G359" s="5">
        <v>500</v>
      </c>
      <c r="H359" s="5">
        <v>39</v>
      </c>
      <c r="I359" s="5"/>
      <c r="J359" s="5"/>
    </row>
    <row r="360" spans="1:10" s="6" customFormat="1">
      <c r="A360" s="7" t="s">
        <v>49</v>
      </c>
      <c r="B360" s="4">
        <v>45784</v>
      </c>
      <c r="C360" s="7"/>
      <c r="D360" s="7" t="s">
        <v>19</v>
      </c>
      <c r="E360" s="7" t="s">
        <v>43</v>
      </c>
      <c r="F360" s="7">
        <v>3060</v>
      </c>
      <c r="G360" s="7">
        <v>1580</v>
      </c>
      <c r="H360" s="7">
        <v>22</v>
      </c>
      <c r="I360" s="7"/>
      <c r="J360" s="5"/>
    </row>
    <row r="361" spans="1:10">
      <c r="A361" s="5"/>
      <c r="B361" s="4">
        <v>45792</v>
      </c>
      <c r="D361" s="5" t="s">
        <v>29</v>
      </c>
      <c r="E361" s="5" t="s">
        <v>25</v>
      </c>
      <c r="F361" s="8">
        <v>0</v>
      </c>
      <c r="G361" s="5">
        <v>120</v>
      </c>
      <c r="H361" s="5">
        <v>0</v>
      </c>
      <c r="I361" s="5"/>
      <c r="J361" s="7"/>
    </row>
    <row r="362" spans="1:10">
      <c r="A362" s="5"/>
      <c r="B362" s="4">
        <v>45792</v>
      </c>
      <c r="C362" s="5"/>
      <c r="D362" s="5" t="s">
        <v>20</v>
      </c>
      <c r="E362" s="5" t="s">
        <v>21</v>
      </c>
      <c r="F362" s="8">
        <v>1280</v>
      </c>
      <c r="G362" s="5">
        <v>4980</v>
      </c>
      <c r="H362" s="5">
        <v>11</v>
      </c>
      <c r="I362" s="5"/>
      <c r="J362" s="5"/>
    </row>
    <row r="363" spans="1:10">
      <c r="A363" s="5"/>
      <c r="B363" s="4">
        <v>45792</v>
      </c>
      <c r="C363" s="5"/>
      <c r="D363" s="5" t="s">
        <v>27</v>
      </c>
      <c r="E363" s="5" t="s">
        <v>25</v>
      </c>
      <c r="F363" s="8">
        <v>750</v>
      </c>
      <c r="G363" s="5">
        <v>450</v>
      </c>
      <c r="H363" s="5">
        <v>7</v>
      </c>
      <c r="I363" s="5"/>
      <c r="J363" s="5"/>
    </row>
    <row r="364" spans="1:10">
      <c r="A364" s="5"/>
      <c r="B364" s="4">
        <v>45792</v>
      </c>
      <c r="C364" s="5"/>
      <c r="D364" s="5" t="s">
        <v>32</v>
      </c>
      <c r="E364" s="5" t="s">
        <v>40</v>
      </c>
      <c r="F364" s="8">
        <v>1760</v>
      </c>
      <c r="G364" s="5">
        <v>620</v>
      </c>
      <c r="H364" s="5">
        <v>15</v>
      </c>
      <c r="I364" s="5"/>
      <c r="J364" s="5"/>
    </row>
    <row r="365" spans="1:10">
      <c r="A365" s="5"/>
      <c r="B365" s="4">
        <v>45792</v>
      </c>
      <c r="C365" s="5"/>
      <c r="D365" s="5" t="s">
        <v>28</v>
      </c>
      <c r="E365" s="5" t="s">
        <v>43</v>
      </c>
      <c r="F365" s="8">
        <v>900</v>
      </c>
      <c r="G365" s="5">
        <v>870</v>
      </c>
      <c r="H365" s="5">
        <v>7</v>
      </c>
      <c r="I365" s="5"/>
      <c r="J365" s="5"/>
    </row>
    <row r="366" spans="1:10">
      <c r="A366" s="5"/>
      <c r="B366" s="4">
        <v>45792</v>
      </c>
      <c r="C366" s="5"/>
      <c r="D366" s="5" t="s">
        <v>45</v>
      </c>
      <c r="E366" s="5" t="s">
        <v>25</v>
      </c>
      <c r="F366" s="8">
        <v>350</v>
      </c>
      <c r="G366" s="5">
        <v>270</v>
      </c>
      <c r="H366" s="5">
        <v>2</v>
      </c>
      <c r="I366" s="5"/>
      <c r="J366" s="5"/>
    </row>
    <row r="367" spans="1:10">
      <c r="A367" s="5"/>
      <c r="B367" s="4">
        <v>45792</v>
      </c>
      <c r="C367" s="5"/>
      <c r="D367" s="5" t="s">
        <v>30</v>
      </c>
      <c r="E367" s="5" t="s">
        <v>25</v>
      </c>
      <c r="F367" s="8">
        <v>2100</v>
      </c>
      <c r="G367" s="5">
        <v>480</v>
      </c>
      <c r="H367" s="5">
        <v>19</v>
      </c>
      <c r="I367" s="5"/>
      <c r="J367" s="5"/>
    </row>
    <row r="368" spans="1:10">
      <c r="A368" s="5"/>
      <c r="B368" s="4">
        <v>45792</v>
      </c>
      <c r="C368" s="5"/>
      <c r="D368" s="5" t="s">
        <v>36</v>
      </c>
      <c r="E368" s="5" t="s">
        <v>25</v>
      </c>
      <c r="F368" s="8">
        <v>170</v>
      </c>
      <c r="G368" s="5">
        <v>330</v>
      </c>
      <c r="H368" s="5">
        <v>2</v>
      </c>
      <c r="I368" s="5"/>
      <c r="J368" s="5"/>
    </row>
    <row r="369" spans="1:10">
      <c r="A369" s="5"/>
      <c r="B369" s="4">
        <v>45792</v>
      </c>
      <c r="C369" s="5"/>
      <c r="D369" s="5" t="s">
        <v>37</v>
      </c>
      <c r="E369" s="5" t="s">
        <v>40</v>
      </c>
      <c r="F369" s="8">
        <v>2960</v>
      </c>
      <c r="G369" s="5">
        <v>360</v>
      </c>
      <c r="H369" s="5">
        <v>26</v>
      </c>
      <c r="I369" s="5"/>
      <c r="J369" s="5"/>
    </row>
    <row r="370" spans="1:10">
      <c r="A370" s="5"/>
      <c r="B370" s="4">
        <v>45792</v>
      </c>
      <c r="C370" s="5"/>
      <c r="D370" s="5" t="s">
        <v>17</v>
      </c>
      <c r="E370" s="5" t="s">
        <v>43</v>
      </c>
      <c r="F370" s="8">
        <v>360</v>
      </c>
      <c r="G370" s="5">
        <v>200</v>
      </c>
      <c r="H370" s="5">
        <v>2</v>
      </c>
      <c r="I370" s="5"/>
      <c r="J370" s="5"/>
    </row>
    <row r="371" spans="1:10">
      <c r="A371" s="5"/>
      <c r="B371" s="4">
        <v>45792</v>
      </c>
      <c r="C371" s="5"/>
      <c r="D371" s="5" t="s">
        <v>19</v>
      </c>
      <c r="E371" s="5" t="s">
        <v>23</v>
      </c>
      <c r="F371" s="8">
        <v>4290</v>
      </c>
      <c r="G371" s="5">
        <v>3330</v>
      </c>
      <c r="H371" s="5">
        <v>40</v>
      </c>
      <c r="I371" s="5"/>
      <c r="J371" s="5"/>
    </row>
    <row r="372" spans="1:10">
      <c r="A372" s="5"/>
      <c r="B372" s="4">
        <v>45792</v>
      </c>
      <c r="C372" s="5"/>
      <c r="D372" s="5" t="s">
        <v>19</v>
      </c>
      <c r="E372" s="5" t="s">
        <v>43</v>
      </c>
      <c r="F372" s="8">
        <v>3000</v>
      </c>
      <c r="G372" s="5">
        <v>2000</v>
      </c>
      <c r="H372" s="5">
        <v>28</v>
      </c>
      <c r="I372" s="5"/>
      <c r="J372" s="5"/>
    </row>
    <row r="373" spans="1:10">
      <c r="A373" s="5"/>
      <c r="B373" s="4">
        <v>45792</v>
      </c>
      <c r="C373" s="5"/>
      <c r="D373" s="5" t="s">
        <v>26</v>
      </c>
      <c r="E373" s="5" t="s">
        <v>43</v>
      </c>
      <c r="F373" s="8">
        <v>4000</v>
      </c>
      <c r="G373" s="5">
        <v>1560</v>
      </c>
      <c r="H373" s="5">
        <v>38</v>
      </c>
      <c r="I373" s="5"/>
      <c r="J373" s="5"/>
    </row>
    <row r="374" spans="1:10">
      <c r="A374" s="5"/>
      <c r="B374" s="4">
        <v>45792</v>
      </c>
      <c r="C374" s="5"/>
      <c r="D374" s="5" t="s">
        <v>26</v>
      </c>
      <c r="E374" s="5" t="s">
        <v>40</v>
      </c>
      <c r="F374" s="8">
        <v>4170</v>
      </c>
      <c r="G374" s="5">
        <v>1400</v>
      </c>
      <c r="H374" s="5">
        <v>40</v>
      </c>
      <c r="I374" s="5"/>
      <c r="J374" s="5"/>
    </row>
    <row r="375" spans="1:10">
      <c r="A375" s="5"/>
      <c r="B375" s="4">
        <v>45792</v>
      </c>
      <c r="C375" s="5"/>
      <c r="D375" s="5" t="s">
        <v>10</v>
      </c>
      <c r="E375" s="5" t="s">
        <v>43</v>
      </c>
      <c r="F375" s="8">
        <v>0</v>
      </c>
      <c r="G375" s="5">
        <v>1240</v>
      </c>
      <c r="H375" s="5">
        <v>0</v>
      </c>
      <c r="I375" s="5"/>
      <c r="J375" s="5"/>
    </row>
    <row r="376" spans="1:10">
      <c r="A376" s="5"/>
      <c r="B376" s="4">
        <v>45792</v>
      </c>
      <c r="C376" s="5"/>
      <c r="D376" s="5" t="s">
        <v>10</v>
      </c>
      <c r="E376" s="5" t="s">
        <v>21</v>
      </c>
      <c r="F376" s="8">
        <v>0</v>
      </c>
      <c r="G376" s="5">
        <v>500</v>
      </c>
      <c r="H376" s="5">
        <v>0</v>
      </c>
      <c r="I376" s="5"/>
      <c r="J376" s="5"/>
    </row>
    <row r="377" spans="1:10">
      <c r="A377" s="5"/>
      <c r="B377" s="4">
        <v>45792</v>
      </c>
      <c r="C377" s="5"/>
      <c r="D377" s="5" t="s">
        <v>10</v>
      </c>
      <c r="E377" s="5" t="s">
        <v>23</v>
      </c>
      <c r="F377" s="8">
        <v>100</v>
      </c>
      <c r="G377" s="5">
        <v>200</v>
      </c>
      <c r="H377" s="5">
        <v>1</v>
      </c>
      <c r="I377" s="5"/>
      <c r="J377" s="5"/>
    </row>
    <row r="378" spans="1:10">
      <c r="A378" s="5"/>
      <c r="B378" s="4">
        <v>45792</v>
      </c>
      <c r="C378" s="5"/>
      <c r="D378" s="5" t="s">
        <v>10</v>
      </c>
      <c r="E378" s="5" t="s">
        <v>40</v>
      </c>
      <c r="F378" s="8">
        <v>100</v>
      </c>
      <c r="G378" s="5">
        <v>200</v>
      </c>
      <c r="H378" s="5">
        <v>1</v>
      </c>
      <c r="I378" s="5"/>
      <c r="J378" s="5"/>
    </row>
    <row r="379" spans="1:10">
      <c r="A379" s="5"/>
      <c r="B379" s="4">
        <v>45796</v>
      </c>
      <c r="D379" s="5" t="s">
        <v>29</v>
      </c>
      <c r="E379" s="5" t="s">
        <v>25</v>
      </c>
      <c r="F379" s="8">
        <v>230</v>
      </c>
      <c r="G379" s="5">
        <v>470</v>
      </c>
      <c r="H379" s="5">
        <v>2</v>
      </c>
      <c r="I379" s="5"/>
      <c r="J379" s="5"/>
    </row>
    <row r="380" spans="1:10">
      <c r="A380" s="5"/>
      <c r="B380" s="4">
        <v>45796</v>
      </c>
      <c r="C380" s="5"/>
      <c r="D380" s="5" t="s">
        <v>20</v>
      </c>
      <c r="E380" s="5" t="s">
        <v>44</v>
      </c>
      <c r="F380" s="8">
        <v>180</v>
      </c>
      <c r="G380" s="5">
        <v>830</v>
      </c>
      <c r="H380" s="5">
        <v>1</v>
      </c>
      <c r="I380" s="5"/>
      <c r="J380" s="5"/>
    </row>
    <row r="381" spans="1:10">
      <c r="A381" s="5"/>
      <c r="B381" s="4">
        <v>45796</v>
      </c>
      <c r="C381" s="5"/>
      <c r="D381" s="5" t="s">
        <v>27</v>
      </c>
      <c r="E381" s="5" t="s">
        <v>25</v>
      </c>
      <c r="F381" s="8">
        <v>370</v>
      </c>
      <c r="G381" s="5">
        <v>570</v>
      </c>
      <c r="H381" s="5">
        <v>3</v>
      </c>
      <c r="I381" s="5"/>
      <c r="J381" s="5"/>
    </row>
    <row r="382" spans="1:10">
      <c r="A382" s="5"/>
      <c r="B382" s="4">
        <v>45796</v>
      </c>
      <c r="C382" s="5"/>
      <c r="D382" s="5" t="s">
        <v>32</v>
      </c>
      <c r="E382" s="5" t="s">
        <v>40</v>
      </c>
      <c r="F382" s="8">
        <v>220</v>
      </c>
      <c r="G382" s="5">
        <v>1120</v>
      </c>
      <c r="H382" s="5">
        <v>2</v>
      </c>
      <c r="I382" s="5"/>
      <c r="J382" s="5"/>
    </row>
    <row r="383" spans="1:10">
      <c r="A383" s="5"/>
      <c r="B383" s="4">
        <v>45796</v>
      </c>
      <c r="C383" s="5"/>
      <c r="D383" s="5" t="s">
        <v>28</v>
      </c>
      <c r="E383" s="5" t="s">
        <v>43</v>
      </c>
      <c r="F383" s="8">
        <v>920</v>
      </c>
      <c r="G383" s="5">
        <v>840</v>
      </c>
      <c r="H383" s="5">
        <v>1</v>
      </c>
      <c r="I383" s="5"/>
      <c r="J383" s="5"/>
    </row>
    <row r="384" spans="1:10">
      <c r="A384" s="5"/>
      <c r="B384" s="4">
        <v>45796</v>
      </c>
      <c r="C384" s="5"/>
      <c r="D384" s="5" t="s">
        <v>45</v>
      </c>
      <c r="E384" s="5" t="s">
        <v>25</v>
      </c>
      <c r="F384" s="8">
        <v>260</v>
      </c>
      <c r="G384" s="5">
        <v>600</v>
      </c>
      <c r="H384" s="5">
        <v>2</v>
      </c>
      <c r="I384" s="5"/>
      <c r="J384" s="5"/>
    </row>
    <row r="385" spans="1:10">
      <c r="A385" s="5"/>
      <c r="B385" s="4">
        <v>45796</v>
      </c>
      <c r="C385" s="5"/>
      <c r="D385" s="5" t="s">
        <v>30</v>
      </c>
      <c r="E385" s="5" t="s">
        <v>25</v>
      </c>
      <c r="F385" s="8">
        <v>1500</v>
      </c>
      <c r="G385" s="5">
        <v>1120</v>
      </c>
      <c r="H385" s="5">
        <v>14</v>
      </c>
      <c r="I385" s="5"/>
      <c r="J385" s="5"/>
    </row>
    <row r="386" spans="1:10">
      <c r="A386" s="5"/>
      <c r="B386" s="4">
        <v>45796</v>
      </c>
      <c r="C386" s="5"/>
      <c r="D386" s="5" t="s">
        <v>36</v>
      </c>
      <c r="E386" s="5" t="s">
        <v>25</v>
      </c>
      <c r="F386" s="8">
        <v>260</v>
      </c>
      <c r="G386" s="5">
        <v>660</v>
      </c>
      <c r="H386" s="5">
        <v>2</v>
      </c>
      <c r="I386" s="5"/>
      <c r="J386" s="5"/>
    </row>
    <row r="387" spans="1:10">
      <c r="A387" s="5"/>
      <c r="B387" s="4">
        <v>45796</v>
      </c>
      <c r="C387" s="5"/>
      <c r="D387" s="5" t="s">
        <v>37</v>
      </c>
      <c r="E387" s="5" t="s">
        <v>40</v>
      </c>
      <c r="F387" s="8">
        <v>1010</v>
      </c>
      <c r="G387" s="5">
        <v>450</v>
      </c>
      <c r="H387" s="5">
        <v>7</v>
      </c>
      <c r="I387" s="5"/>
      <c r="J387" s="5"/>
    </row>
    <row r="388" spans="1:10">
      <c r="A388" s="5"/>
      <c r="B388" s="4">
        <v>45796</v>
      </c>
      <c r="C388" s="5"/>
      <c r="D388" s="5" t="s">
        <v>13</v>
      </c>
      <c r="E388" s="5" t="s">
        <v>25</v>
      </c>
      <c r="F388" s="8">
        <v>0</v>
      </c>
      <c r="G388" s="5">
        <v>520</v>
      </c>
      <c r="H388" s="5">
        <v>0</v>
      </c>
      <c r="I388" s="5"/>
      <c r="J388" s="5"/>
    </row>
    <row r="389" spans="1:10">
      <c r="A389" s="5"/>
      <c r="B389" s="4">
        <v>45796</v>
      </c>
      <c r="C389" s="5"/>
      <c r="D389" s="5" t="s">
        <v>19</v>
      </c>
      <c r="E389" s="5" t="s">
        <v>23</v>
      </c>
      <c r="F389" s="8">
        <v>1110</v>
      </c>
      <c r="G389" s="5">
        <v>2930</v>
      </c>
      <c r="H389" s="5">
        <v>11</v>
      </c>
      <c r="I389" s="5"/>
      <c r="J389" s="5"/>
    </row>
    <row r="390" spans="1:10">
      <c r="A390" s="5"/>
      <c r="B390" s="4">
        <v>45796</v>
      </c>
      <c r="C390" s="5"/>
      <c r="D390" s="5" t="s">
        <v>19</v>
      </c>
      <c r="E390" s="5" t="s">
        <v>43</v>
      </c>
      <c r="F390" s="8">
        <v>2120</v>
      </c>
      <c r="G390" s="5">
        <v>6920</v>
      </c>
      <c r="H390" s="5">
        <v>19</v>
      </c>
      <c r="I390" s="5"/>
      <c r="J390" s="5"/>
    </row>
    <row r="391" spans="1:10">
      <c r="A391" s="5"/>
      <c r="B391" s="4">
        <v>45796</v>
      </c>
      <c r="C391" s="5"/>
      <c r="D391" s="5" t="s">
        <v>26</v>
      </c>
      <c r="E391" s="5" t="s">
        <v>40</v>
      </c>
      <c r="F391" s="8">
        <v>680</v>
      </c>
      <c r="G391" s="5">
        <v>0</v>
      </c>
      <c r="H391" s="5">
        <v>5</v>
      </c>
      <c r="I391" s="5"/>
      <c r="J391" s="5"/>
    </row>
    <row r="392" spans="1:10">
      <c r="A392" s="5"/>
      <c r="B392" s="4">
        <v>45796</v>
      </c>
      <c r="C392" s="5"/>
      <c r="D392" s="5" t="s">
        <v>10</v>
      </c>
      <c r="E392" s="5" t="s">
        <v>43</v>
      </c>
      <c r="F392" s="8">
        <v>0</v>
      </c>
      <c r="G392" s="5">
        <v>1520</v>
      </c>
      <c r="H392" s="5">
        <v>0</v>
      </c>
      <c r="I392" s="5"/>
      <c r="J392" s="5"/>
    </row>
    <row r="393" spans="1:10">
      <c r="A393" s="5"/>
      <c r="B393" s="4">
        <v>45796</v>
      </c>
      <c r="C393" s="5"/>
      <c r="D393" s="5" t="s">
        <v>10</v>
      </c>
      <c r="E393" s="5" t="s">
        <v>44</v>
      </c>
      <c r="F393" s="8">
        <v>0</v>
      </c>
      <c r="G393" s="5">
        <v>260</v>
      </c>
      <c r="H393" s="5">
        <v>0</v>
      </c>
      <c r="I393" s="5"/>
      <c r="J393" s="5"/>
    </row>
    <row r="394" spans="1:10">
      <c r="A394" s="5"/>
      <c r="B394" s="4">
        <v>45796</v>
      </c>
      <c r="C394" s="5"/>
      <c r="D394" s="5" t="s">
        <v>10</v>
      </c>
      <c r="E394" s="5" t="s">
        <v>23</v>
      </c>
      <c r="F394" s="8">
        <v>0</v>
      </c>
      <c r="G394" s="5">
        <v>620</v>
      </c>
      <c r="H394" s="5">
        <v>0</v>
      </c>
      <c r="I394" s="5"/>
      <c r="J394" s="5"/>
    </row>
    <row r="395" spans="1:10">
      <c r="A395" s="5"/>
      <c r="B395" s="4">
        <v>45796</v>
      </c>
      <c r="C395" s="5"/>
      <c r="D395" s="5" t="s">
        <v>10</v>
      </c>
      <c r="E395" s="5" t="s">
        <v>40</v>
      </c>
      <c r="F395" s="8">
        <v>0</v>
      </c>
      <c r="G395" s="5">
        <v>800</v>
      </c>
      <c r="H395" s="5">
        <v>0</v>
      </c>
      <c r="I395" s="5"/>
      <c r="J395" s="5"/>
    </row>
    <row r="396" spans="1:10">
      <c r="A396" s="5"/>
      <c r="B396" s="4">
        <v>45799</v>
      </c>
      <c r="D396" s="5" t="s">
        <v>30</v>
      </c>
      <c r="E396" s="5" t="s">
        <v>25</v>
      </c>
      <c r="F396" s="8">
        <v>1060</v>
      </c>
      <c r="G396" s="5">
        <v>740</v>
      </c>
      <c r="H396" s="5">
        <v>10</v>
      </c>
      <c r="I396" s="5"/>
      <c r="J396" s="5"/>
    </row>
    <row r="397" spans="1:10">
      <c r="A397" s="5"/>
      <c r="B397" s="4">
        <v>45799</v>
      </c>
      <c r="C397" s="5"/>
      <c r="D397" s="5" t="s">
        <v>19</v>
      </c>
      <c r="E397" s="5" t="s">
        <v>23</v>
      </c>
      <c r="F397" s="8">
        <v>0</v>
      </c>
      <c r="G397" s="5">
        <v>3400</v>
      </c>
      <c r="H397" s="5">
        <v>0</v>
      </c>
      <c r="I397" s="5"/>
      <c r="J397" s="5"/>
    </row>
    <row r="398" spans="1:10">
      <c r="A398" s="5"/>
      <c r="B398" s="4">
        <v>45799</v>
      </c>
      <c r="C398" s="5"/>
      <c r="D398" s="5" t="s">
        <v>26</v>
      </c>
      <c r="E398" s="5" t="s">
        <v>43</v>
      </c>
      <c r="F398" s="8">
        <v>840</v>
      </c>
      <c r="G398" s="5">
        <v>300</v>
      </c>
      <c r="H398" s="5">
        <v>6</v>
      </c>
      <c r="I398" s="5"/>
      <c r="J398" s="5"/>
    </row>
    <row r="399" spans="1:10">
      <c r="A399" s="5"/>
      <c r="B399" s="4">
        <v>45799</v>
      </c>
      <c r="C399" s="5"/>
      <c r="D399" s="5" t="s">
        <v>26</v>
      </c>
      <c r="E399" s="5" t="s">
        <v>40</v>
      </c>
      <c r="F399" s="8">
        <v>370</v>
      </c>
      <c r="G399" s="5">
        <v>130</v>
      </c>
      <c r="H399" s="5">
        <v>3</v>
      </c>
      <c r="I399" s="5"/>
      <c r="J399" s="5"/>
    </row>
    <row r="400" spans="1:10">
      <c r="A400" s="5"/>
      <c r="B400" s="4">
        <v>45803</v>
      </c>
      <c r="D400" s="5" t="s">
        <v>29</v>
      </c>
      <c r="E400" s="5" t="s">
        <v>25</v>
      </c>
      <c r="F400" s="8">
        <v>100</v>
      </c>
      <c r="G400" s="5">
        <v>340</v>
      </c>
      <c r="H400" s="5">
        <v>1</v>
      </c>
      <c r="I400" s="5"/>
      <c r="J400" s="5"/>
    </row>
    <row r="401" spans="1:10">
      <c r="A401" s="5"/>
      <c r="B401" s="4">
        <v>45803</v>
      </c>
      <c r="C401" s="5"/>
      <c r="D401" s="5" t="s">
        <v>20</v>
      </c>
      <c r="E401" s="5" t="s">
        <v>44</v>
      </c>
      <c r="F401" s="8">
        <v>200</v>
      </c>
      <c r="G401" s="5">
        <v>480</v>
      </c>
      <c r="H401" s="5">
        <v>2</v>
      </c>
      <c r="I401" s="5"/>
      <c r="J401" s="5"/>
    </row>
    <row r="402" spans="1:10">
      <c r="A402" s="5"/>
      <c r="B402" s="4">
        <v>45803</v>
      </c>
      <c r="C402" s="5"/>
      <c r="D402" s="5" t="s">
        <v>27</v>
      </c>
      <c r="E402" s="5" t="s">
        <v>25</v>
      </c>
      <c r="F402" s="8">
        <v>240</v>
      </c>
      <c r="G402" s="5">
        <v>760</v>
      </c>
      <c r="H402" s="5">
        <v>2</v>
      </c>
      <c r="I402" s="5"/>
      <c r="J402" s="5"/>
    </row>
    <row r="403" spans="1:10">
      <c r="A403" s="5"/>
      <c r="B403" s="4">
        <v>45803</v>
      </c>
      <c r="C403" s="5"/>
      <c r="D403" s="5" t="s">
        <v>32</v>
      </c>
      <c r="E403" s="5" t="s">
        <v>40</v>
      </c>
      <c r="F403" s="8">
        <v>110</v>
      </c>
      <c r="G403" s="5">
        <v>330</v>
      </c>
      <c r="H403" s="5">
        <v>1</v>
      </c>
      <c r="I403" s="5"/>
      <c r="J403" s="5"/>
    </row>
    <row r="404" spans="1:10">
      <c r="A404" s="5"/>
      <c r="B404" s="4">
        <v>45803</v>
      </c>
      <c r="C404" s="5"/>
      <c r="D404" s="5" t="s">
        <v>28</v>
      </c>
      <c r="E404" s="5" t="s">
        <v>43</v>
      </c>
      <c r="F404" s="8">
        <v>200</v>
      </c>
      <c r="G404" s="5">
        <v>420</v>
      </c>
      <c r="H404" s="5">
        <v>2</v>
      </c>
      <c r="I404" s="5"/>
      <c r="J404" s="5"/>
    </row>
    <row r="405" spans="1:10">
      <c r="A405" s="5"/>
      <c r="B405" s="4">
        <v>45803</v>
      </c>
      <c r="C405" s="5"/>
      <c r="D405" s="5" t="s">
        <v>45</v>
      </c>
      <c r="E405" s="5" t="s">
        <v>25</v>
      </c>
      <c r="F405" s="8">
        <v>120</v>
      </c>
      <c r="G405" s="5">
        <v>500</v>
      </c>
      <c r="H405" s="5">
        <v>1</v>
      </c>
      <c r="I405" s="5"/>
      <c r="J405" s="5"/>
    </row>
    <row r="406" spans="1:10">
      <c r="A406" s="5"/>
      <c r="B406" s="4">
        <v>45803</v>
      </c>
      <c r="C406" s="5"/>
      <c r="D406" s="5" t="s">
        <v>30</v>
      </c>
      <c r="E406" s="5" t="s">
        <v>25</v>
      </c>
      <c r="F406" s="8">
        <v>830</v>
      </c>
      <c r="G406" s="5">
        <v>470</v>
      </c>
      <c r="H406" s="5">
        <v>4</v>
      </c>
      <c r="I406" s="5"/>
      <c r="J406" s="5"/>
    </row>
    <row r="407" spans="1:10">
      <c r="A407" s="5"/>
      <c r="B407" s="4">
        <v>45803</v>
      </c>
      <c r="C407" s="5"/>
      <c r="D407" s="5" t="s">
        <v>19</v>
      </c>
      <c r="E407" s="5" t="s">
        <v>23</v>
      </c>
      <c r="F407" s="8">
        <v>300</v>
      </c>
      <c r="G407" s="5">
        <v>4860</v>
      </c>
      <c r="H407" s="5">
        <v>3</v>
      </c>
      <c r="I407" s="5"/>
      <c r="J407" s="5"/>
    </row>
    <row r="408" spans="1:10">
      <c r="A408" s="5"/>
      <c r="B408" s="4">
        <v>45803</v>
      </c>
      <c r="C408" s="5"/>
      <c r="D408" s="5" t="s">
        <v>19</v>
      </c>
      <c r="E408" s="5" t="s">
        <v>43</v>
      </c>
      <c r="F408" s="8">
        <v>2730</v>
      </c>
      <c r="G408" s="5">
        <v>4220</v>
      </c>
      <c r="H408" s="5">
        <v>14</v>
      </c>
      <c r="I408" s="5"/>
      <c r="J408" s="5"/>
    </row>
    <row r="409" spans="1:10">
      <c r="A409" s="5"/>
      <c r="B409" s="4">
        <v>45803</v>
      </c>
      <c r="C409" s="5"/>
      <c r="D409" s="5" t="s">
        <v>26</v>
      </c>
      <c r="E409" s="5" t="s">
        <v>43</v>
      </c>
      <c r="F409" s="8">
        <v>410</v>
      </c>
      <c r="G409" s="5">
        <v>880</v>
      </c>
      <c r="H409" s="5">
        <v>2</v>
      </c>
      <c r="I409" s="5"/>
      <c r="J409" s="5"/>
    </row>
    <row r="410" spans="1:10">
      <c r="A410" s="5"/>
      <c r="B410" s="4">
        <v>45803</v>
      </c>
      <c r="C410" s="5"/>
      <c r="D410" s="5" t="s">
        <v>26</v>
      </c>
      <c r="E410" s="5" t="s">
        <v>40</v>
      </c>
      <c r="F410" s="8">
        <v>850</v>
      </c>
      <c r="G410" s="5">
        <v>0</v>
      </c>
      <c r="H410" s="5">
        <v>6</v>
      </c>
      <c r="I410" s="5"/>
      <c r="J410" s="5"/>
    </row>
    <row r="411" spans="1:10">
      <c r="A411" s="5"/>
      <c r="B411" s="4">
        <v>45803</v>
      </c>
      <c r="C411" s="5"/>
      <c r="D411" s="5" t="s">
        <v>10</v>
      </c>
      <c r="E411" s="5" t="s">
        <v>43</v>
      </c>
      <c r="F411" s="8">
        <v>0</v>
      </c>
      <c r="G411" s="5">
        <v>1940</v>
      </c>
      <c r="H411" s="5">
        <v>0</v>
      </c>
      <c r="I411" s="5"/>
      <c r="J411" s="5"/>
    </row>
    <row r="412" spans="1:10">
      <c r="A412" s="5"/>
      <c r="B412" s="4">
        <v>45803</v>
      </c>
      <c r="C412" s="5"/>
      <c r="D412" s="5" t="s">
        <v>10</v>
      </c>
      <c r="E412" s="5" t="s">
        <v>44</v>
      </c>
      <c r="F412" s="8">
        <v>0</v>
      </c>
      <c r="G412" s="5">
        <v>420</v>
      </c>
      <c r="H412" s="5">
        <v>0</v>
      </c>
      <c r="I412" s="5"/>
      <c r="J412" s="5"/>
    </row>
    <row r="413" spans="1:10">
      <c r="A413" s="5"/>
      <c r="B413" s="4">
        <v>45803</v>
      </c>
      <c r="C413" s="5"/>
      <c r="D413" s="5" t="s">
        <v>10</v>
      </c>
      <c r="E413" s="5" t="s">
        <v>23</v>
      </c>
      <c r="F413" s="8">
        <v>0</v>
      </c>
      <c r="G413" s="5">
        <v>460</v>
      </c>
      <c r="H413" s="5">
        <v>0</v>
      </c>
      <c r="I413" s="5"/>
      <c r="J413" s="5"/>
    </row>
    <row r="414" spans="1:10">
      <c r="A414" s="5"/>
      <c r="B414" s="4">
        <v>45803</v>
      </c>
      <c r="C414" s="5"/>
      <c r="D414" s="5" t="s">
        <v>10</v>
      </c>
      <c r="E414" s="5" t="s">
        <v>40</v>
      </c>
      <c r="F414" s="8">
        <v>0</v>
      </c>
      <c r="G414" s="5">
        <v>540</v>
      </c>
      <c r="H414" s="5">
        <v>0</v>
      </c>
      <c r="I414" s="5"/>
      <c r="J414" s="5"/>
    </row>
    <row r="415" spans="1:10">
      <c r="A415" s="5"/>
      <c r="B415" s="4">
        <v>45807</v>
      </c>
      <c r="D415" s="5" t="s">
        <v>27</v>
      </c>
      <c r="E415" s="5" t="s">
        <v>25</v>
      </c>
      <c r="F415" s="8">
        <v>210</v>
      </c>
      <c r="G415" s="5">
        <v>310</v>
      </c>
      <c r="H415" s="5">
        <v>2</v>
      </c>
      <c r="I415" s="5"/>
      <c r="J415" s="5"/>
    </row>
    <row r="416" spans="1:10">
      <c r="A416" s="5"/>
      <c r="B416" s="4">
        <v>45807</v>
      </c>
      <c r="C416" s="5"/>
      <c r="D416" s="5" t="s">
        <v>28</v>
      </c>
      <c r="E416" s="5" t="s">
        <v>43</v>
      </c>
      <c r="F416" s="8">
        <v>170</v>
      </c>
      <c r="G416" s="5">
        <v>150</v>
      </c>
      <c r="H416" s="5">
        <v>0</v>
      </c>
      <c r="I416" s="5"/>
      <c r="J416" s="5"/>
    </row>
    <row r="417" spans="1:10">
      <c r="A417" s="5"/>
      <c r="B417" s="4">
        <v>45807</v>
      </c>
      <c r="C417" s="5"/>
      <c r="D417" s="5" t="s">
        <v>30</v>
      </c>
      <c r="E417" s="5" t="s">
        <v>25</v>
      </c>
      <c r="F417" s="8">
        <v>900</v>
      </c>
      <c r="G417" s="5">
        <v>600</v>
      </c>
      <c r="H417" s="5">
        <v>0</v>
      </c>
      <c r="I417" s="5"/>
      <c r="J417" s="5"/>
    </row>
    <row r="418" spans="1:10">
      <c r="A418" s="5"/>
      <c r="B418" s="4">
        <v>45807</v>
      </c>
      <c r="C418" s="5"/>
      <c r="D418" s="5" t="s">
        <v>36</v>
      </c>
      <c r="E418" s="5" t="s">
        <v>25</v>
      </c>
      <c r="F418" s="8">
        <v>40</v>
      </c>
      <c r="G418" s="5">
        <v>350</v>
      </c>
      <c r="H418" s="5">
        <v>0</v>
      </c>
      <c r="I418" s="5"/>
      <c r="J418" s="5"/>
    </row>
    <row r="419" spans="1:10">
      <c r="A419" s="5"/>
      <c r="B419" s="4">
        <v>45807</v>
      </c>
      <c r="C419" s="5"/>
      <c r="D419" s="5" t="s">
        <v>37</v>
      </c>
      <c r="E419" s="5" t="s">
        <v>40</v>
      </c>
      <c r="F419" s="8">
        <v>1900</v>
      </c>
      <c r="G419" s="5">
        <v>2800</v>
      </c>
      <c r="H419" s="5">
        <v>13</v>
      </c>
      <c r="I419" s="5"/>
      <c r="J419" s="5"/>
    </row>
    <row r="420" spans="1:10">
      <c r="A420" s="5"/>
      <c r="B420" s="4">
        <v>45807</v>
      </c>
      <c r="C420" s="5"/>
      <c r="D420" s="5" t="s">
        <v>13</v>
      </c>
      <c r="E420" s="5" t="s">
        <v>25</v>
      </c>
      <c r="F420" s="8">
        <v>140</v>
      </c>
      <c r="G420" s="5">
        <v>520</v>
      </c>
      <c r="H420" s="5">
        <v>1</v>
      </c>
      <c r="I420" s="5"/>
      <c r="J420" s="5"/>
    </row>
    <row r="421" spans="1:10">
      <c r="A421" s="5"/>
      <c r="B421" s="4">
        <v>45807</v>
      </c>
      <c r="C421" s="5"/>
      <c r="D421" s="5" t="s">
        <v>17</v>
      </c>
      <c r="E421" s="5" t="s">
        <v>43</v>
      </c>
      <c r="F421" s="8">
        <v>150</v>
      </c>
      <c r="G421" s="5">
        <v>0</v>
      </c>
      <c r="H421" s="5">
        <v>1</v>
      </c>
      <c r="I421" s="5"/>
      <c r="J421" s="5"/>
    </row>
    <row r="422" spans="1:10">
      <c r="A422" s="5"/>
      <c r="B422" s="4">
        <v>45807</v>
      </c>
      <c r="C422" s="5"/>
      <c r="D422" s="5" t="s">
        <v>19</v>
      </c>
      <c r="E422" s="5" t="s">
        <v>23</v>
      </c>
      <c r="F422" s="8">
        <v>330</v>
      </c>
      <c r="G422" s="5">
        <v>1970</v>
      </c>
      <c r="H422" s="5">
        <v>2</v>
      </c>
      <c r="I422" s="5"/>
      <c r="J422" s="5"/>
    </row>
    <row r="423" spans="1:10">
      <c r="A423" s="5"/>
      <c r="B423" s="4">
        <v>45807</v>
      </c>
      <c r="C423" s="5"/>
      <c r="D423" s="5" t="s">
        <v>19</v>
      </c>
      <c r="E423" s="5" t="s">
        <v>43</v>
      </c>
      <c r="F423" s="8">
        <v>1400</v>
      </c>
      <c r="G423" s="5">
        <v>1700</v>
      </c>
      <c r="H423" s="5">
        <v>11</v>
      </c>
      <c r="I423" s="5"/>
      <c r="J423" s="5"/>
    </row>
    <row r="424" spans="1:10">
      <c r="A424" s="5"/>
      <c r="B424" s="4">
        <v>45807</v>
      </c>
      <c r="C424" s="5"/>
      <c r="D424" s="5" t="s">
        <v>26</v>
      </c>
      <c r="E424" s="5" t="s">
        <v>43</v>
      </c>
      <c r="F424" s="8">
        <v>240</v>
      </c>
      <c r="G424" s="5">
        <v>0</v>
      </c>
      <c r="H424" s="5">
        <v>2</v>
      </c>
      <c r="I424" s="5"/>
      <c r="J424" s="5"/>
    </row>
    <row r="425" spans="1:10">
      <c r="A425" s="5"/>
      <c r="B425" s="4">
        <v>45807</v>
      </c>
      <c r="C425" s="5"/>
      <c r="D425" s="5" t="s">
        <v>26</v>
      </c>
      <c r="E425" s="5" t="s">
        <v>40</v>
      </c>
      <c r="F425" s="8">
        <v>480</v>
      </c>
      <c r="G425" s="5">
        <v>0</v>
      </c>
      <c r="H425" s="5">
        <v>4</v>
      </c>
      <c r="I425" s="5"/>
      <c r="J425" s="5"/>
    </row>
    <row r="426" spans="1:10">
      <c r="A426" s="5" t="s">
        <v>46</v>
      </c>
      <c r="B426" s="5"/>
      <c r="C426" s="4">
        <v>45813</v>
      </c>
      <c r="D426" s="5" t="s">
        <v>29</v>
      </c>
      <c r="E426" s="5" t="s">
        <v>25</v>
      </c>
      <c r="F426" s="8">
        <v>500</v>
      </c>
      <c r="G426" s="5">
        <v>0</v>
      </c>
      <c r="H426" s="5">
        <v>15</v>
      </c>
      <c r="I426" s="5" t="s">
        <v>25</v>
      </c>
      <c r="J426" s="5"/>
    </row>
    <row r="427" spans="1:10">
      <c r="A427" s="5"/>
      <c r="B427" s="5"/>
      <c r="C427" s="5"/>
      <c r="D427" s="5" t="s">
        <v>20</v>
      </c>
      <c r="E427" s="5" t="s">
        <v>44</v>
      </c>
      <c r="F427" s="8">
        <v>740</v>
      </c>
      <c r="G427" s="5">
        <v>0</v>
      </c>
      <c r="H427" s="5">
        <v>1</v>
      </c>
      <c r="I427" s="5" t="s">
        <v>40</v>
      </c>
      <c r="J427" s="5">
        <v>15</v>
      </c>
    </row>
    <row r="428" spans="1:10">
      <c r="A428" s="5"/>
      <c r="B428" s="5"/>
      <c r="C428" s="5"/>
      <c r="D428" s="5" t="s">
        <v>27</v>
      </c>
      <c r="E428" s="5" t="s">
        <v>25</v>
      </c>
      <c r="F428" s="8">
        <v>1120</v>
      </c>
      <c r="G428" s="5">
        <v>0</v>
      </c>
      <c r="H428" s="5">
        <v>0</v>
      </c>
      <c r="I428" s="5" t="s">
        <v>44</v>
      </c>
      <c r="J428" s="5">
        <v>8</v>
      </c>
    </row>
    <row r="429" spans="1:10">
      <c r="A429" s="5"/>
      <c r="B429" s="5"/>
      <c r="C429" s="5"/>
      <c r="D429" s="5" t="s">
        <v>47</v>
      </c>
      <c r="E429" s="5" t="s">
        <v>43</v>
      </c>
      <c r="F429" s="8">
        <v>300</v>
      </c>
      <c r="G429" s="5">
        <v>0</v>
      </c>
      <c r="H429" s="5">
        <v>0</v>
      </c>
      <c r="I429" s="5"/>
      <c r="J429" s="5">
        <v>1</v>
      </c>
    </row>
    <row r="430" spans="1:10">
      <c r="A430" s="5"/>
      <c r="B430" s="5"/>
      <c r="C430" s="5"/>
      <c r="D430" s="5" t="s">
        <v>45</v>
      </c>
      <c r="E430" s="5" t="s">
        <v>25</v>
      </c>
      <c r="F430" s="8">
        <v>1140</v>
      </c>
      <c r="G430" s="5">
        <v>0</v>
      </c>
      <c r="H430" s="5">
        <v>0</v>
      </c>
      <c r="I430" s="5"/>
      <c r="J430" s="5"/>
    </row>
    <row r="431" spans="1:10">
      <c r="A431" s="5"/>
      <c r="B431" s="5"/>
      <c r="C431" s="5"/>
      <c r="D431" s="5" t="s">
        <v>30</v>
      </c>
      <c r="E431" s="5" t="s">
        <v>25</v>
      </c>
      <c r="F431" s="8">
        <v>1400</v>
      </c>
      <c r="G431" s="5">
        <v>0</v>
      </c>
      <c r="H431" s="5">
        <v>0</v>
      </c>
      <c r="I431" s="5"/>
      <c r="J431" s="5"/>
    </row>
    <row r="432" spans="1:10">
      <c r="A432" s="5"/>
      <c r="B432" s="5"/>
      <c r="C432" s="5"/>
      <c r="D432" s="5" t="s">
        <v>36</v>
      </c>
      <c r="E432" s="5" t="s">
        <v>25</v>
      </c>
      <c r="F432" s="8">
        <v>300</v>
      </c>
      <c r="G432" s="5">
        <v>0</v>
      </c>
      <c r="H432" s="5">
        <v>0</v>
      </c>
      <c r="I432" s="5"/>
      <c r="J432" s="5"/>
    </row>
    <row r="433" spans="1:10">
      <c r="A433" s="5"/>
      <c r="B433" s="5"/>
      <c r="C433" s="5"/>
      <c r="D433" s="5" t="s">
        <v>37</v>
      </c>
      <c r="E433" s="5" t="s">
        <v>40</v>
      </c>
      <c r="F433" s="8">
        <v>3800</v>
      </c>
      <c r="G433" s="5">
        <v>0</v>
      </c>
      <c r="H433" s="5">
        <v>8</v>
      </c>
      <c r="I433" s="5"/>
      <c r="J433" s="5"/>
    </row>
    <row r="434" spans="1:10">
      <c r="A434" s="5"/>
      <c r="B434" s="5"/>
      <c r="C434" s="5"/>
      <c r="D434" s="5" t="s">
        <v>13</v>
      </c>
      <c r="E434" s="5" t="s">
        <v>25</v>
      </c>
      <c r="F434" s="8">
        <v>500</v>
      </c>
      <c r="G434" s="5">
        <v>0</v>
      </c>
      <c r="H434" s="5">
        <v>0</v>
      </c>
      <c r="I434" s="5"/>
      <c r="J434" s="5"/>
    </row>
    <row r="435" spans="1:10">
      <c r="A435" s="5"/>
      <c r="B435" s="5"/>
      <c r="C435" s="5"/>
      <c r="D435" s="5" t="s">
        <v>17</v>
      </c>
      <c r="E435" s="5" t="s">
        <v>43</v>
      </c>
      <c r="F435" s="8">
        <v>100</v>
      </c>
      <c r="G435" s="5">
        <v>0</v>
      </c>
      <c r="H435" s="5">
        <v>0</v>
      </c>
      <c r="I435" s="5"/>
      <c r="J435" s="5"/>
    </row>
    <row r="436" spans="1:10">
      <c r="A436" s="5"/>
      <c r="B436" s="5"/>
      <c r="C436" s="5"/>
      <c r="D436" s="5" t="s">
        <v>19</v>
      </c>
      <c r="E436" s="5" t="s">
        <v>23</v>
      </c>
      <c r="F436" s="8">
        <v>6100</v>
      </c>
      <c r="G436" s="5">
        <v>0</v>
      </c>
      <c r="H436" s="5">
        <v>0</v>
      </c>
      <c r="I436" s="5"/>
      <c r="J436" s="5"/>
    </row>
    <row r="437" spans="1:10">
      <c r="A437" s="5"/>
      <c r="B437" s="5"/>
      <c r="C437" s="5"/>
      <c r="D437" s="5" t="s">
        <v>19</v>
      </c>
      <c r="E437" s="5" t="s">
        <v>43</v>
      </c>
      <c r="F437" s="8">
        <v>6240</v>
      </c>
      <c r="G437" s="5">
        <v>0</v>
      </c>
      <c r="H437" s="5">
        <v>0</v>
      </c>
      <c r="I437" s="5"/>
      <c r="J437" s="5"/>
    </row>
    <row r="438" spans="1:10">
      <c r="A438" s="5"/>
      <c r="B438" s="5"/>
      <c r="C438" s="5"/>
      <c r="D438" s="5" t="s">
        <v>26</v>
      </c>
      <c r="E438" s="5" t="s">
        <v>43</v>
      </c>
      <c r="F438" s="8">
        <v>880</v>
      </c>
      <c r="G438" s="5">
        <v>0</v>
      </c>
      <c r="H438" s="5">
        <v>0</v>
      </c>
      <c r="I438" s="5"/>
      <c r="J438" s="5"/>
    </row>
    <row r="439" spans="1:10">
      <c r="A439" s="5"/>
      <c r="B439" s="5"/>
      <c r="C439" s="5"/>
      <c r="D439" s="5" t="s">
        <v>26</v>
      </c>
      <c r="E439" s="5" t="s">
        <v>40</v>
      </c>
      <c r="F439" s="8">
        <v>730</v>
      </c>
      <c r="G439" s="5">
        <v>0</v>
      </c>
      <c r="H439" s="5">
        <v>1</v>
      </c>
      <c r="I439" s="5"/>
      <c r="J439" s="5"/>
    </row>
    <row r="440" spans="1:10">
      <c r="A440" s="5"/>
      <c r="B440" s="5"/>
      <c r="C440" s="5"/>
      <c r="D440" s="5" t="s">
        <v>10</v>
      </c>
      <c r="E440" s="5" t="s">
        <v>43</v>
      </c>
      <c r="F440" s="8">
        <v>880</v>
      </c>
      <c r="G440" s="5">
        <v>0</v>
      </c>
      <c r="H440" s="5">
        <v>0</v>
      </c>
      <c r="I440" s="5"/>
      <c r="J440" s="5"/>
    </row>
    <row r="441" spans="1:10">
      <c r="A441" s="5"/>
      <c r="B441" s="5"/>
      <c r="C441" s="5"/>
      <c r="D441" s="5" t="s">
        <v>10</v>
      </c>
      <c r="E441" s="5" t="s">
        <v>44</v>
      </c>
      <c r="F441" s="8">
        <v>80</v>
      </c>
      <c r="G441" s="5">
        <v>0</v>
      </c>
      <c r="H441" s="5">
        <v>0</v>
      </c>
      <c r="I441" s="5"/>
      <c r="J441" s="5"/>
    </row>
    <row r="442" spans="1:10">
      <c r="A442" s="5"/>
      <c r="B442" s="5"/>
      <c r="C442" s="5"/>
      <c r="D442" s="5" t="s">
        <v>10</v>
      </c>
      <c r="E442" s="5" t="s">
        <v>23</v>
      </c>
      <c r="F442" s="8">
        <v>60</v>
      </c>
      <c r="G442" s="5">
        <v>0</v>
      </c>
      <c r="H442" s="5">
        <v>0</v>
      </c>
      <c r="I442" s="5"/>
      <c r="J442" s="5"/>
    </row>
    <row r="443" spans="1:10">
      <c r="A443" s="5"/>
      <c r="B443" s="5"/>
      <c r="C443" s="5"/>
      <c r="D443" s="5" t="s">
        <v>10</v>
      </c>
      <c r="E443" s="5" t="s">
        <v>40</v>
      </c>
      <c r="F443" s="8">
        <v>80</v>
      </c>
      <c r="G443" s="5">
        <v>0</v>
      </c>
      <c r="H443" s="5">
        <v>0</v>
      </c>
      <c r="I443" s="5"/>
      <c r="J443" s="5"/>
    </row>
    <row r="444" spans="1:10">
      <c r="A444" s="5"/>
      <c r="B444" s="5"/>
      <c r="C444" s="4">
        <v>45819</v>
      </c>
      <c r="D444" s="5" t="s">
        <v>45</v>
      </c>
      <c r="E444" s="5" t="s">
        <v>25</v>
      </c>
      <c r="F444" s="8">
        <v>320</v>
      </c>
      <c r="G444" s="5">
        <v>0</v>
      </c>
      <c r="H444" s="5">
        <v>4</v>
      </c>
      <c r="I444" s="5" t="s">
        <v>25</v>
      </c>
      <c r="J444" s="5"/>
    </row>
    <row r="445" spans="1:10">
      <c r="A445" s="5"/>
      <c r="B445" s="5"/>
      <c r="C445" s="5"/>
      <c r="D445" s="5" t="s">
        <v>30</v>
      </c>
      <c r="E445" s="5" t="s">
        <v>25</v>
      </c>
      <c r="F445" s="8">
        <v>1200</v>
      </c>
      <c r="G445" s="5">
        <v>0</v>
      </c>
      <c r="H445" s="5">
        <v>0</v>
      </c>
      <c r="I445" s="5" t="s">
        <v>40</v>
      </c>
      <c r="J445" s="5">
        <v>4</v>
      </c>
    </row>
    <row r="446" spans="1:10">
      <c r="A446" s="5"/>
      <c r="B446" s="5"/>
      <c r="C446" s="5"/>
      <c r="D446" s="5" t="s">
        <v>19</v>
      </c>
      <c r="E446" s="5" t="s">
        <v>23</v>
      </c>
      <c r="F446" s="8">
        <v>1420</v>
      </c>
      <c r="G446" s="5">
        <v>0</v>
      </c>
      <c r="H446" s="5">
        <v>2</v>
      </c>
      <c r="I446" s="5" t="s">
        <v>23</v>
      </c>
      <c r="J446" s="5">
        <v>1</v>
      </c>
    </row>
    <row r="447" spans="1:10">
      <c r="A447" s="5"/>
      <c r="B447" s="5"/>
      <c r="C447" s="5"/>
      <c r="D447" s="5" t="s">
        <v>19</v>
      </c>
      <c r="E447" s="5" t="s">
        <v>43</v>
      </c>
      <c r="F447" s="8">
        <v>3360</v>
      </c>
      <c r="G447" s="5">
        <v>0</v>
      </c>
      <c r="H447" s="5">
        <v>0</v>
      </c>
      <c r="I447" s="5"/>
      <c r="J447" s="5">
        <v>2</v>
      </c>
    </row>
    <row r="448" spans="1:10">
      <c r="J448" s="5"/>
    </row>
    <row r="449" spans="5:8">
      <c r="E449" s="5" t="s">
        <v>124</v>
      </c>
      <c r="F449">
        <f>SUM(F4:F447)</f>
        <v>339970</v>
      </c>
      <c r="G449">
        <f t="shared" ref="G449:H449" si="0">SUM(G4:G447)</f>
        <v>228265</v>
      </c>
      <c r="H449">
        <f t="shared" si="0"/>
        <v>2399</v>
      </c>
    </row>
    <row r="450" spans="5:8">
      <c r="E450" s="5" t="s">
        <v>125</v>
      </c>
      <c r="F450" s="8">
        <v>339.97</v>
      </c>
      <c r="G450" s="5">
        <v>228.26499999999999</v>
      </c>
    </row>
    <row r="451" spans="5:8">
      <c r="F451" s="12">
        <f>F450+G450</f>
        <v>568.23500000000001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5569-4427-45EB-A6B4-C1960CC48B4F}">
  <dimension ref="A1:P110"/>
  <sheetViews>
    <sheetView topLeftCell="L78" workbookViewId="0">
      <selection activeCell="O88" sqref="O88"/>
    </sheetView>
  </sheetViews>
  <sheetFormatPr defaultRowHeight="18"/>
  <cols>
    <col min="1" max="1" width="21.33203125" customWidth="1"/>
    <col min="2" max="2" width="13.5" customWidth="1"/>
    <col min="3" max="3" width="15.5" customWidth="1"/>
    <col min="14" max="14" width="28" customWidth="1"/>
    <col min="15" max="15" width="35.1640625" customWidth="1"/>
  </cols>
  <sheetData>
    <row r="1" spans="1:14">
      <c r="A1" t="s">
        <v>253</v>
      </c>
      <c r="N1" t="s">
        <v>438</v>
      </c>
    </row>
    <row r="3" spans="1:14">
      <c r="A3" t="s">
        <v>140</v>
      </c>
      <c r="B3" t="s">
        <v>254</v>
      </c>
      <c r="C3" t="s">
        <v>133</v>
      </c>
      <c r="D3" t="s">
        <v>142</v>
      </c>
      <c r="E3" t="s">
        <v>255</v>
      </c>
      <c r="N3" t="s">
        <v>439</v>
      </c>
    </row>
    <row r="4" spans="1:14">
      <c r="A4" t="s">
        <v>144</v>
      </c>
      <c r="B4" t="s">
        <v>256</v>
      </c>
      <c r="C4" s="24">
        <v>12480</v>
      </c>
      <c r="D4" s="24">
        <v>77893</v>
      </c>
      <c r="E4" s="24">
        <v>2616</v>
      </c>
    </row>
    <row r="5" spans="1:14">
      <c r="A5" t="s">
        <v>145</v>
      </c>
      <c r="B5" t="s">
        <v>257</v>
      </c>
      <c r="C5" s="24">
        <v>7843</v>
      </c>
      <c r="D5" s="24">
        <v>58668</v>
      </c>
      <c r="E5" s="24">
        <v>2509</v>
      </c>
      <c r="N5" t="s">
        <v>440</v>
      </c>
    </row>
    <row r="6" spans="1:14">
      <c r="A6" t="s">
        <v>126</v>
      </c>
      <c r="B6" t="s">
        <v>258</v>
      </c>
      <c r="C6">
        <v>92</v>
      </c>
      <c r="D6">
        <v>478</v>
      </c>
      <c r="E6">
        <v>9</v>
      </c>
    </row>
    <row r="7" spans="1:14">
      <c r="A7" t="s">
        <v>138</v>
      </c>
      <c r="B7" t="s">
        <v>259</v>
      </c>
      <c r="C7" s="24">
        <v>18187</v>
      </c>
      <c r="D7" s="24">
        <v>136561</v>
      </c>
      <c r="E7" s="24">
        <v>5516</v>
      </c>
      <c r="N7" t="s">
        <v>441</v>
      </c>
    </row>
    <row r="8" spans="1:14">
      <c r="A8" t="s">
        <v>135</v>
      </c>
      <c r="B8" t="s">
        <v>260</v>
      </c>
      <c r="C8" t="s">
        <v>261</v>
      </c>
      <c r="D8">
        <v>250.1</v>
      </c>
      <c r="E8">
        <v>68.95</v>
      </c>
    </row>
    <row r="9" spans="1:14">
      <c r="A9" t="s">
        <v>262</v>
      </c>
      <c r="B9" t="s">
        <v>260</v>
      </c>
      <c r="C9" s="23">
        <v>0.60740000000000005</v>
      </c>
      <c r="D9">
        <v>74.38</v>
      </c>
      <c r="E9">
        <v>47.43</v>
      </c>
      <c r="N9" t="s">
        <v>442</v>
      </c>
    </row>
    <row r="10" spans="1:14">
      <c r="A10" t="s">
        <v>263</v>
      </c>
      <c r="B10" t="s">
        <v>260</v>
      </c>
      <c r="C10" s="23">
        <v>0.3926</v>
      </c>
      <c r="D10">
        <v>52.57</v>
      </c>
      <c r="E10">
        <v>25.62</v>
      </c>
    </row>
    <row r="11" spans="1:14">
      <c r="A11" t="s">
        <v>150</v>
      </c>
      <c r="B11" t="s">
        <v>260</v>
      </c>
      <c r="C11" t="s">
        <v>264</v>
      </c>
      <c r="D11">
        <v>446.62</v>
      </c>
      <c r="E11">
        <v>65.67</v>
      </c>
      <c r="N11" t="s">
        <v>443</v>
      </c>
    </row>
    <row r="13" spans="1:14">
      <c r="A13" t="s">
        <v>205</v>
      </c>
      <c r="N13" t="s">
        <v>444</v>
      </c>
    </row>
    <row r="15" spans="1:14">
      <c r="A15" t="s">
        <v>320</v>
      </c>
      <c r="N15" t="s">
        <v>445</v>
      </c>
    </row>
    <row r="17" spans="1:15">
      <c r="A17" t="s">
        <v>321</v>
      </c>
    </row>
    <row r="19" spans="1:15">
      <c r="A19" t="s">
        <v>265</v>
      </c>
      <c r="N19" t="s">
        <v>446</v>
      </c>
    </row>
    <row r="21" spans="1:15">
      <c r="N21" t="s">
        <v>447</v>
      </c>
    </row>
    <row r="23" spans="1:15">
      <c r="A23" t="s">
        <v>266</v>
      </c>
      <c r="N23" t="s">
        <v>448</v>
      </c>
      <c r="O23" t="s">
        <v>449</v>
      </c>
    </row>
    <row r="24" spans="1:15">
      <c r="N24" t="s">
        <v>132</v>
      </c>
      <c r="O24" t="s">
        <v>450</v>
      </c>
    </row>
    <row r="25" spans="1:15">
      <c r="A25" t="s">
        <v>267</v>
      </c>
      <c r="B25" t="s">
        <v>106</v>
      </c>
      <c r="C25" t="s">
        <v>268</v>
      </c>
      <c r="D25" t="s">
        <v>269</v>
      </c>
      <c r="N25" t="s">
        <v>133</v>
      </c>
      <c r="O25" t="s">
        <v>451</v>
      </c>
    </row>
    <row r="26" spans="1:15">
      <c r="A26" t="s">
        <v>117</v>
      </c>
      <c r="B26" t="s">
        <v>270</v>
      </c>
      <c r="C26">
        <v>250.1</v>
      </c>
      <c r="D26" t="s">
        <v>271</v>
      </c>
      <c r="N26" t="s">
        <v>152</v>
      </c>
      <c r="O26" t="s">
        <v>452</v>
      </c>
    </row>
    <row r="27" spans="1:15">
      <c r="A27" t="s">
        <v>272</v>
      </c>
      <c r="B27" t="s">
        <v>273</v>
      </c>
      <c r="C27">
        <v>213.38</v>
      </c>
      <c r="D27" t="s">
        <v>274</v>
      </c>
      <c r="N27" t="s">
        <v>154</v>
      </c>
      <c r="O27" t="s">
        <v>453</v>
      </c>
    </row>
    <row r="28" spans="1:15">
      <c r="A28" t="s">
        <v>100</v>
      </c>
      <c r="B28" t="s">
        <v>104</v>
      </c>
      <c r="C28">
        <v>217.98</v>
      </c>
      <c r="D28" t="s">
        <v>274</v>
      </c>
      <c r="N28" t="s">
        <v>134</v>
      </c>
      <c r="O28" t="s">
        <v>454</v>
      </c>
    </row>
    <row r="29" spans="1:15">
      <c r="A29" t="s">
        <v>101</v>
      </c>
      <c r="B29" t="s">
        <v>104</v>
      </c>
      <c r="C29">
        <v>227.34</v>
      </c>
      <c r="D29" t="s">
        <v>274</v>
      </c>
    </row>
    <row r="30" spans="1:15">
      <c r="A30" t="s">
        <v>275</v>
      </c>
      <c r="B30" t="s">
        <v>104</v>
      </c>
      <c r="C30">
        <v>149.30000000000001</v>
      </c>
      <c r="D30" t="s">
        <v>276</v>
      </c>
      <c r="N30" t="s">
        <v>455</v>
      </c>
    </row>
    <row r="31" spans="1:15">
      <c r="A31" t="s">
        <v>122</v>
      </c>
      <c r="B31" t="s">
        <v>104</v>
      </c>
      <c r="C31">
        <v>88.86</v>
      </c>
      <c r="D31" t="s">
        <v>277</v>
      </c>
    </row>
    <row r="32" spans="1:15">
      <c r="A32" t="s">
        <v>119</v>
      </c>
      <c r="B32" t="s">
        <v>104</v>
      </c>
      <c r="C32">
        <v>68.95</v>
      </c>
      <c r="D32" t="s">
        <v>278</v>
      </c>
    </row>
    <row r="34" spans="1:15">
      <c r="A34" t="s">
        <v>205</v>
      </c>
      <c r="N34" t="s">
        <v>456</v>
      </c>
    </row>
    <row r="36" spans="1:15">
      <c r="A36" t="s">
        <v>322</v>
      </c>
      <c r="N36" t="s">
        <v>448</v>
      </c>
      <c r="O36" t="s">
        <v>449</v>
      </c>
    </row>
    <row r="37" spans="1:15">
      <c r="N37" t="s">
        <v>132</v>
      </c>
      <c r="O37" t="s">
        <v>457</v>
      </c>
    </row>
    <row r="38" spans="1:15">
      <c r="A38" t="s">
        <v>279</v>
      </c>
      <c r="N38" t="s">
        <v>133</v>
      </c>
      <c r="O38" s="23">
        <v>0.60740000000000005</v>
      </c>
    </row>
    <row r="39" spans="1:15">
      <c r="N39" t="s">
        <v>152</v>
      </c>
      <c r="O39" t="s">
        <v>458</v>
      </c>
    </row>
    <row r="40" spans="1:15">
      <c r="A40" t="s">
        <v>280</v>
      </c>
      <c r="N40" t="s">
        <v>154</v>
      </c>
      <c r="O40" t="s">
        <v>459</v>
      </c>
    </row>
    <row r="41" spans="1:15">
      <c r="N41" t="s">
        <v>134</v>
      </c>
      <c r="O41" t="s">
        <v>460</v>
      </c>
    </row>
    <row r="43" spans="1:15">
      <c r="N43" t="s">
        <v>461</v>
      </c>
    </row>
    <row r="44" spans="1:15">
      <c r="A44" t="s">
        <v>281</v>
      </c>
    </row>
    <row r="46" spans="1:15">
      <c r="A46" t="s">
        <v>267</v>
      </c>
      <c r="B46" t="s">
        <v>262</v>
      </c>
      <c r="C46" t="s">
        <v>99</v>
      </c>
      <c r="D46" t="s">
        <v>136</v>
      </c>
    </row>
    <row r="47" spans="1:15">
      <c r="A47" t="s">
        <v>102</v>
      </c>
      <c r="B47">
        <v>74.38</v>
      </c>
      <c r="C47" t="s">
        <v>282</v>
      </c>
      <c r="D47" t="s">
        <v>283</v>
      </c>
      <c r="N47" t="s">
        <v>462</v>
      </c>
    </row>
    <row r="48" spans="1:15">
      <c r="A48" t="s">
        <v>284</v>
      </c>
      <c r="B48">
        <v>69.010000000000005</v>
      </c>
      <c r="C48" t="s">
        <v>282</v>
      </c>
      <c r="D48" t="s">
        <v>285</v>
      </c>
    </row>
    <row r="49" spans="1:15">
      <c r="A49" t="s">
        <v>101</v>
      </c>
      <c r="B49">
        <v>68.62</v>
      </c>
      <c r="C49" t="s">
        <v>282</v>
      </c>
      <c r="D49" t="s">
        <v>286</v>
      </c>
      <c r="N49" t="s">
        <v>448</v>
      </c>
      <c r="O49" t="s">
        <v>449</v>
      </c>
    </row>
    <row r="50" spans="1:15">
      <c r="A50" t="s">
        <v>122</v>
      </c>
      <c r="B50">
        <v>64.709999999999994</v>
      </c>
      <c r="C50" t="s">
        <v>287</v>
      </c>
      <c r="D50" t="s">
        <v>288</v>
      </c>
      <c r="N50" t="s">
        <v>132</v>
      </c>
      <c r="O50" t="s">
        <v>463</v>
      </c>
    </row>
    <row r="51" spans="1:15">
      <c r="A51" t="s">
        <v>272</v>
      </c>
      <c r="B51">
        <v>57.04</v>
      </c>
      <c r="C51" t="s">
        <v>289</v>
      </c>
      <c r="D51" t="s">
        <v>290</v>
      </c>
      <c r="N51" t="s">
        <v>133</v>
      </c>
      <c r="O51" s="23">
        <v>0.3926</v>
      </c>
    </row>
    <row r="52" spans="1:15">
      <c r="A52" t="s">
        <v>119</v>
      </c>
      <c r="B52">
        <v>47.43</v>
      </c>
      <c r="C52" t="s">
        <v>291</v>
      </c>
      <c r="D52" t="s">
        <v>292</v>
      </c>
      <c r="N52" t="s">
        <v>152</v>
      </c>
      <c r="O52" t="s">
        <v>464</v>
      </c>
    </row>
    <row r="53" spans="1:15">
      <c r="A53" t="s">
        <v>102</v>
      </c>
      <c r="B53" t="s">
        <v>293</v>
      </c>
      <c r="C53" t="s">
        <v>282</v>
      </c>
      <c r="D53" t="s">
        <v>294</v>
      </c>
      <c r="N53" t="s">
        <v>154</v>
      </c>
      <c r="O53" t="s">
        <v>465</v>
      </c>
    </row>
    <row r="55" spans="1:15">
      <c r="A55" t="s">
        <v>205</v>
      </c>
      <c r="N55" t="s">
        <v>466</v>
      </c>
    </row>
    <row r="57" spans="1:15">
      <c r="A57" t="s">
        <v>323</v>
      </c>
    </row>
    <row r="59" spans="1:15">
      <c r="A59" t="s">
        <v>324</v>
      </c>
      <c r="N59" t="s">
        <v>467</v>
      </c>
    </row>
    <row r="61" spans="1:15">
      <c r="N61" t="s">
        <v>448</v>
      </c>
      <c r="O61" t="s">
        <v>449</v>
      </c>
    </row>
    <row r="62" spans="1:15">
      <c r="N62" t="s">
        <v>132</v>
      </c>
      <c r="O62" t="s">
        <v>468</v>
      </c>
    </row>
    <row r="63" spans="1:15">
      <c r="A63" t="s">
        <v>295</v>
      </c>
      <c r="N63" t="s">
        <v>142</v>
      </c>
      <c r="O63" t="s">
        <v>469</v>
      </c>
    </row>
    <row r="64" spans="1:15">
      <c r="N64" t="s">
        <v>255</v>
      </c>
      <c r="O64" t="s">
        <v>470</v>
      </c>
    </row>
    <row r="65" spans="1:16">
      <c r="A65" t="s">
        <v>267</v>
      </c>
      <c r="B65" t="s">
        <v>150</v>
      </c>
      <c r="C65" t="s">
        <v>296</v>
      </c>
      <c r="N65" t="s">
        <v>134</v>
      </c>
      <c r="O65" t="s">
        <v>471</v>
      </c>
    </row>
    <row r="66" spans="1:16">
      <c r="A66" t="s">
        <v>117</v>
      </c>
      <c r="B66">
        <v>446.62</v>
      </c>
      <c r="C66" t="s">
        <v>297</v>
      </c>
    </row>
    <row r="67" spans="1:16">
      <c r="A67" t="s">
        <v>100</v>
      </c>
      <c r="B67">
        <v>435.95</v>
      </c>
      <c r="C67" t="s">
        <v>298</v>
      </c>
      <c r="N67" t="s">
        <v>472</v>
      </c>
    </row>
    <row r="68" spans="1:16">
      <c r="A68" t="s">
        <v>102</v>
      </c>
      <c r="B68">
        <v>422.42</v>
      </c>
      <c r="C68" t="s">
        <v>299</v>
      </c>
    </row>
    <row r="69" spans="1:16">
      <c r="A69" t="s">
        <v>272</v>
      </c>
      <c r="B69">
        <v>401.65</v>
      </c>
      <c r="C69" t="s">
        <v>300</v>
      </c>
    </row>
    <row r="70" spans="1:16">
      <c r="A70" t="s">
        <v>122</v>
      </c>
      <c r="B70">
        <v>177.73</v>
      </c>
      <c r="C70" t="s">
        <v>301</v>
      </c>
    </row>
    <row r="71" spans="1:16">
      <c r="A71" t="s">
        <v>119</v>
      </c>
      <c r="B71">
        <v>65.67</v>
      </c>
      <c r="C71" t="s">
        <v>302</v>
      </c>
      <c r="N71" t="s">
        <v>473</v>
      </c>
    </row>
    <row r="73" spans="1:16">
      <c r="A73" t="s">
        <v>205</v>
      </c>
      <c r="N73" t="s">
        <v>474</v>
      </c>
      <c r="O73" t="s">
        <v>137</v>
      </c>
      <c r="P73" t="s">
        <v>111</v>
      </c>
    </row>
    <row r="74" spans="1:16">
      <c r="N74" t="s">
        <v>475</v>
      </c>
      <c r="O74" t="s">
        <v>476</v>
      </c>
      <c r="P74" t="s">
        <v>477</v>
      </c>
    </row>
    <row r="75" spans="1:16">
      <c r="A75" t="s">
        <v>325</v>
      </c>
      <c r="N75" t="s">
        <v>478</v>
      </c>
      <c r="O75" t="s">
        <v>479</v>
      </c>
      <c r="P75" t="s">
        <v>480</v>
      </c>
    </row>
    <row r="76" spans="1:16">
      <c r="N76" t="s">
        <v>481</v>
      </c>
      <c r="O76" t="s">
        <v>482</v>
      </c>
      <c r="P76" t="s">
        <v>483</v>
      </c>
    </row>
    <row r="77" spans="1:16">
      <c r="A77" t="s">
        <v>326</v>
      </c>
      <c r="N77" t="s">
        <v>484</v>
      </c>
      <c r="O77" t="s">
        <v>485</v>
      </c>
      <c r="P77" t="s">
        <v>486</v>
      </c>
    </row>
    <row r="80" spans="1:16">
      <c r="N80" t="s">
        <v>487</v>
      </c>
    </row>
    <row r="81" spans="1:15">
      <c r="A81" t="s">
        <v>303</v>
      </c>
    </row>
    <row r="82" spans="1:15">
      <c r="N82" t="s">
        <v>428</v>
      </c>
      <c r="O82" t="s">
        <v>488</v>
      </c>
    </row>
    <row r="83" spans="1:15">
      <c r="A83" t="s">
        <v>98</v>
      </c>
      <c r="B83" t="s">
        <v>304</v>
      </c>
      <c r="C83" t="s">
        <v>109</v>
      </c>
      <c r="D83" t="s">
        <v>110</v>
      </c>
      <c r="E83" t="s">
        <v>305</v>
      </c>
      <c r="F83" t="s">
        <v>306</v>
      </c>
      <c r="N83" t="s">
        <v>489</v>
      </c>
      <c r="O83" t="s">
        <v>490</v>
      </c>
    </row>
    <row r="84" spans="1:15">
      <c r="A84" t="s">
        <v>117</v>
      </c>
      <c r="B84">
        <v>250.1</v>
      </c>
      <c r="C84" s="23">
        <v>0.54610000000000003</v>
      </c>
      <c r="D84" s="23">
        <v>0.45390000000000003</v>
      </c>
      <c r="E84">
        <v>446.62</v>
      </c>
      <c r="F84" t="s">
        <v>307</v>
      </c>
      <c r="N84" t="s">
        <v>491</v>
      </c>
      <c r="O84" t="s">
        <v>492</v>
      </c>
    </row>
    <row r="85" spans="1:15">
      <c r="A85" t="s">
        <v>102</v>
      </c>
      <c r="B85">
        <v>147.85</v>
      </c>
      <c r="C85" s="23">
        <v>0.74380000000000002</v>
      </c>
      <c r="D85" s="23">
        <v>0.25619999999999998</v>
      </c>
      <c r="E85">
        <v>422.42</v>
      </c>
      <c r="F85" t="s">
        <v>308</v>
      </c>
      <c r="N85" t="s">
        <v>493</v>
      </c>
      <c r="O85" t="s">
        <v>494</v>
      </c>
    </row>
    <row r="86" spans="1:15">
      <c r="A86" t="s">
        <v>272</v>
      </c>
      <c r="B86">
        <v>213.38</v>
      </c>
      <c r="C86" s="23">
        <v>0.57040000000000002</v>
      </c>
      <c r="D86" s="23">
        <v>0.42959999999999998</v>
      </c>
      <c r="E86">
        <v>401.65</v>
      </c>
      <c r="F86" t="s">
        <v>309</v>
      </c>
      <c r="N86" t="s">
        <v>495</v>
      </c>
      <c r="O86" t="s">
        <v>496</v>
      </c>
    </row>
    <row r="87" spans="1:15">
      <c r="A87" t="s">
        <v>100</v>
      </c>
      <c r="B87">
        <v>217.98</v>
      </c>
      <c r="C87" s="23">
        <v>0.55020000000000002</v>
      </c>
      <c r="D87" s="23">
        <v>0.44979999999999998</v>
      </c>
      <c r="E87">
        <v>435.95</v>
      </c>
      <c r="F87" t="s">
        <v>310</v>
      </c>
      <c r="N87" t="s">
        <v>497</v>
      </c>
      <c r="O87" t="s">
        <v>498</v>
      </c>
    </row>
    <row r="88" spans="1:15">
      <c r="A88" t="s">
        <v>122</v>
      </c>
      <c r="B88">
        <v>88.86</v>
      </c>
      <c r="C88" s="23">
        <v>0.64710000000000001</v>
      </c>
      <c r="D88" s="23">
        <v>0.35289999999999999</v>
      </c>
      <c r="E88">
        <v>177.73</v>
      </c>
      <c r="F88" t="s">
        <v>311</v>
      </c>
    </row>
    <row r="89" spans="1:15">
      <c r="A89" t="s">
        <v>119</v>
      </c>
      <c r="B89">
        <v>68.95</v>
      </c>
      <c r="C89" s="23">
        <v>0.4743</v>
      </c>
      <c r="D89" s="23">
        <v>0.52569999999999995</v>
      </c>
      <c r="E89">
        <v>65.67</v>
      </c>
      <c r="F89" t="s">
        <v>312</v>
      </c>
    </row>
    <row r="92" spans="1:15">
      <c r="A92" t="s">
        <v>313</v>
      </c>
    </row>
    <row r="94" spans="1:15">
      <c r="A94" t="s">
        <v>314</v>
      </c>
    </row>
    <row r="96" spans="1:15">
      <c r="A96" t="s">
        <v>315</v>
      </c>
    </row>
    <row r="98" spans="1:1">
      <c r="A98" t="s">
        <v>316</v>
      </c>
    </row>
    <row r="102" spans="1:1">
      <c r="A102" t="s">
        <v>317</v>
      </c>
    </row>
    <row r="104" spans="1:1">
      <c r="A104" t="s">
        <v>318</v>
      </c>
    </row>
    <row r="106" spans="1:1">
      <c r="A106" t="s">
        <v>327</v>
      </c>
    </row>
    <row r="108" spans="1:1">
      <c r="A108" t="s">
        <v>328</v>
      </c>
    </row>
    <row r="110" spans="1:1">
      <c r="A110" t="s">
        <v>319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FE49-F1CC-4FEF-9908-C37F6477499D}">
  <dimension ref="A1:Q83"/>
  <sheetViews>
    <sheetView topLeftCell="K47" workbookViewId="0">
      <selection activeCell="N64" sqref="N64"/>
    </sheetView>
  </sheetViews>
  <sheetFormatPr defaultRowHeight="18"/>
  <cols>
    <col min="1" max="1" width="9.75" customWidth="1"/>
    <col min="2" max="2" width="13" customWidth="1"/>
    <col min="3" max="3" width="13.4140625" customWidth="1"/>
    <col min="4" max="4" width="14.6640625" customWidth="1"/>
  </cols>
  <sheetData>
    <row r="1" spans="1:17">
      <c r="A1" t="s">
        <v>197</v>
      </c>
      <c r="N1" t="s">
        <v>387</v>
      </c>
    </row>
    <row r="3" spans="1:17">
      <c r="A3" t="s">
        <v>198</v>
      </c>
      <c r="B3" t="s">
        <v>135</v>
      </c>
      <c r="C3" t="s">
        <v>69</v>
      </c>
      <c r="D3" t="s">
        <v>199</v>
      </c>
      <c r="E3" t="s">
        <v>99</v>
      </c>
      <c r="N3" t="s">
        <v>388</v>
      </c>
    </row>
    <row r="4" spans="1:17">
      <c r="A4" t="s">
        <v>108</v>
      </c>
      <c r="B4">
        <v>169.69</v>
      </c>
      <c r="C4" t="s">
        <v>72</v>
      </c>
      <c r="D4" t="s">
        <v>200</v>
      </c>
      <c r="E4" t="s">
        <v>201</v>
      </c>
    </row>
    <row r="5" spans="1:17">
      <c r="A5" t="s">
        <v>107</v>
      </c>
      <c r="B5">
        <v>238.57</v>
      </c>
      <c r="C5" t="s">
        <v>72</v>
      </c>
      <c r="D5" t="s">
        <v>200</v>
      </c>
      <c r="E5" t="s">
        <v>202</v>
      </c>
      <c r="N5" t="s">
        <v>198</v>
      </c>
      <c r="O5" t="s">
        <v>141</v>
      </c>
      <c r="P5" t="s">
        <v>139</v>
      </c>
      <c r="Q5" t="s">
        <v>135</v>
      </c>
    </row>
    <row r="6" spans="1:17">
      <c r="A6" t="s">
        <v>105</v>
      </c>
      <c r="B6">
        <v>160.05000000000001</v>
      </c>
      <c r="C6" t="s">
        <v>72</v>
      </c>
      <c r="D6" t="s">
        <v>200</v>
      </c>
      <c r="E6" t="s">
        <v>201</v>
      </c>
      <c r="N6" t="s">
        <v>108</v>
      </c>
      <c r="O6" s="24">
        <v>61090</v>
      </c>
      <c r="P6">
        <v>360</v>
      </c>
      <c r="Q6">
        <v>169.69</v>
      </c>
    </row>
    <row r="7" spans="1:17">
      <c r="A7" t="s">
        <v>104</v>
      </c>
      <c r="B7">
        <v>159.93</v>
      </c>
      <c r="C7" t="s">
        <v>75</v>
      </c>
      <c r="D7" t="s">
        <v>203</v>
      </c>
      <c r="E7" t="s">
        <v>204</v>
      </c>
      <c r="N7" t="s">
        <v>107</v>
      </c>
      <c r="O7" s="24">
        <v>85884</v>
      </c>
      <c r="P7">
        <v>360</v>
      </c>
      <c r="Q7">
        <v>238.57</v>
      </c>
    </row>
    <row r="8" spans="1:17">
      <c r="N8" t="s">
        <v>105</v>
      </c>
      <c r="O8" s="24">
        <v>112038</v>
      </c>
      <c r="P8">
        <v>700</v>
      </c>
      <c r="Q8">
        <v>160.05000000000001</v>
      </c>
    </row>
    <row r="9" spans="1:17">
      <c r="A9" t="s">
        <v>205</v>
      </c>
      <c r="N9" t="s">
        <v>104</v>
      </c>
      <c r="O9" s="24">
        <v>292665</v>
      </c>
      <c r="P9" s="24">
        <v>1830</v>
      </c>
      <c r="Q9">
        <v>159.93</v>
      </c>
    </row>
    <row r="11" spans="1:17">
      <c r="A11" t="s">
        <v>206</v>
      </c>
    </row>
    <row r="12" spans="1:17">
      <c r="N12" t="s">
        <v>389</v>
      </c>
    </row>
    <row r="13" spans="1:17">
      <c r="A13" t="s">
        <v>207</v>
      </c>
    </row>
    <row r="14" spans="1:17">
      <c r="N14" t="s">
        <v>390</v>
      </c>
    </row>
    <row r="15" spans="1:17">
      <c r="A15" t="s">
        <v>208</v>
      </c>
    </row>
    <row r="16" spans="1:17">
      <c r="N16" t="s">
        <v>391</v>
      </c>
    </row>
    <row r="18" spans="1:14">
      <c r="N18" t="s">
        <v>392</v>
      </c>
    </row>
    <row r="19" spans="1:14">
      <c r="A19" t="s">
        <v>209</v>
      </c>
    </row>
    <row r="20" spans="1:14">
      <c r="N20" t="s">
        <v>393</v>
      </c>
    </row>
    <row r="21" spans="1:14">
      <c r="A21" t="s">
        <v>198</v>
      </c>
      <c r="B21" t="s">
        <v>103</v>
      </c>
      <c r="C21" t="s">
        <v>61</v>
      </c>
      <c r="D21" t="s">
        <v>99</v>
      </c>
    </row>
    <row r="22" spans="1:14">
      <c r="A22" t="s">
        <v>108</v>
      </c>
      <c r="B22">
        <v>69.010000000000005</v>
      </c>
      <c r="C22">
        <v>30.99</v>
      </c>
      <c r="D22" t="s">
        <v>210</v>
      </c>
      <c r="N22" t="s">
        <v>394</v>
      </c>
    </row>
    <row r="23" spans="1:14">
      <c r="A23" t="s">
        <v>107</v>
      </c>
      <c r="B23">
        <v>52.57</v>
      </c>
      <c r="C23">
        <v>47.43</v>
      </c>
      <c r="D23" t="s">
        <v>211</v>
      </c>
    </row>
    <row r="24" spans="1:14">
      <c r="A24" t="s">
        <v>105</v>
      </c>
      <c r="B24">
        <v>58.61</v>
      </c>
      <c r="C24">
        <v>41.39</v>
      </c>
      <c r="D24" t="s">
        <v>212</v>
      </c>
      <c r="N24" t="s">
        <v>395</v>
      </c>
    </row>
    <row r="25" spans="1:14">
      <c r="A25" t="s">
        <v>104</v>
      </c>
      <c r="B25">
        <v>61.9</v>
      </c>
      <c r="C25">
        <v>38.1</v>
      </c>
      <c r="D25" t="s">
        <v>213</v>
      </c>
    </row>
    <row r="26" spans="1:14">
      <c r="N26" t="s">
        <v>396</v>
      </c>
    </row>
    <row r="27" spans="1:14">
      <c r="A27" t="s">
        <v>205</v>
      </c>
    </row>
    <row r="29" spans="1:14">
      <c r="A29" t="s">
        <v>214</v>
      </c>
    </row>
    <row r="30" spans="1:14">
      <c r="N30" t="s">
        <v>397</v>
      </c>
    </row>
    <row r="31" spans="1:14">
      <c r="A31" t="s">
        <v>215</v>
      </c>
    </row>
    <row r="32" spans="1:14">
      <c r="N32" t="s">
        <v>398</v>
      </c>
    </row>
    <row r="33" spans="1:16">
      <c r="A33" t="s">
        <v>216</v>
      </c>
    </row>
    <row r="34" spans="1:16">
      <c r="N34" t="s">
        <v>399</v>
      </c>
      <c r="O34" t="s">
        <v>400</v>
      </c>
      <c r="P34" t="s">
        <v>401</v>
      </c>
    </row>
    <row r="35" spans="1:16">
      <c r="N35" t="s">
        <v>402</v>
      </c>
      <c r="O35" t="s">
        <v>403</v>
      </c>
      <c r="P35" t="s">
        <v>404</v>
      </c>
    </row>
    <row r="36" spans="1:16">
      <c r="N36" t="s">
        <v>405</v>
      </c>
      <c r="O36" t="s">
        <v>406</v>
      </c>
      <c r="P36" t="s">
        <v>404</v>
      </c>
    </row>
    <row r="37" spans="1:16">
      <c r="A37" t="s">
        <v>217</v>
      </c>
      <c r="N37" t="s">
        <v>407</v>
      </c>
      <c r="O37" t="s">
        <v>408</v>
      </c>
      <c r="P37" t="s">
        <v>404</v>
      </c>
    </row>
    <row r="38" spans="1:16">
      <c r="N38" t="s">
        <v>409</v>
      </c>
      <c r="O38" t="s">
        <v>410</v>
      </c>
      <c r="P38" t="s">
        <v>411</v>
      </c>
    </row>
    <row r="39" spans="1:16">
      <c r="A39" t="s">
        <v>198</v>
      </c>
      <c r="B39" t="s">
        <v>150</v>
      </c>
      <c r="C39" t="s">
        <v>99</v>
      </c>
    </row>
    <row r="40" spans="1:16">
      <c r="A40" t="s">
        <v>108</v>
      </c>
      <c r="B40">
        <v>363.63</v>
      </c>
      <c r="C40" t="s">
        <v>218</v>
      </c>
      <c r="N40" t="s">
        <v>412</v>
      </c>
    </row>
    <row r="41" spans="1:16">
      <c r="A41" t="s">
        <v>107</v>
      </c>
      <c r="B41">
        <v>505.2</v>
      </c>
      <c r="C41" t="s">
        <v>219</v>
      </c>
    </row>
    <row r="42" spans="1:16">
      <c r="A42" t="s">
        <v>105</v>
      </c>
      <c r="B42">
        <v>329.52</v>
      </c>
      <c r="C42" t="s">
        <v>220</v>
      </c>
    </row>
    <row r="43" spans="1:16">
      <c r="A43" t="s">
        <v>104</v>
      </c>
      <c r="B43">
        <v>218.08</v>
      </c>
      <c r="C43" t="s">
        <v>221</v>
      </c>
    </row>
    <row r="44" spans="1:16">
      <c r="N44" t="s">
        <v>413</v>
      </c>
    </row>
    <row r="45" spans="1:16">
      <c r="A45" t="s">
        <v>205</v>
      </c>
    </row>
    <row r="46" spans="1:16">
      <c r="N46" t="s">
        <v>414</v>
      </c>
      <c r="O46" t="s">
        <v>415</v>
      </c>
      <c r="P46" t="s">
        <v>416</v>
      </c>
    </row>
    <row r="47" spans="1:16">
      <c r="A47" t="s">
        <v>222</v>
      </c>
      <c r="N47" t="s">
        <v>417</v>
      </c>
      <c r="O47" t="s">
        <v>418</v>
      </c>
      <c r="P47" t="s">
        <v>419</v>
      </c>
    </row>
    <row r="48" spans="1:16">
      <c r="N48" t="s">
        <v>152</v>
      </c>
      <c r="O48" t="s">
        <v>420</v>
      </c>
      <c r="P48" t="s">
        <v>421</v>
      </c>
    </row>
    <row r="49" spans="1:16">
      <c r="A49" t="s">
        <v>223</v>
      </c>
      <c r="N49" t="s">
        <v>154</v>
      </c>
      <c r="O49" t="s">
        <v>422</v>
      </c>
      <c r="P49" t="s">
        <v>423</v>
      </c>
    </row>
    <row r="50" spans="1:16">
      <c r="N50" t="s">
        <v>424</v>
      </c>
      <c r="O50" t="s">
        <v>425</v>
      </c>
      <c r="P50" t="s">
        <v>426</v>
      </c>
    </row>
    <row r="53" spans="1:16">
      <c r="A53" t="s">
        <v>224</v>
      </c>
      <c r="N53" t="s">
        <v>427</v>
      </c>
    </row>
    <row r="55" spans="1:16">
      <c r="A55" t="s">
        <v>106</v>
      </c>
      <c r="B55" t="s">
        <v>138</v>
      </c>
      <c r="C55" t="s">
        <v>225</v>
      </c>
      <c r="D55" t="s">
        <v>136</v>
      </c>
      <c r="N55" t="s">
        <v>428</v>
      </c>
      <c r="O55" t="s">
        <v>429</v>
      </c>
    </row>
    <row r="56" spans="1:16">
      <c r="A56" t="s">
        <v>104</v>
      </c>
      <c r="B56" t="s">
        <v>226</v>
      </c>
      <c r="C56" t="s">
        <v>227</v>
      </c>
      <c r="D56" t="s">
        <v>228</v>
      </c>
      <c r="N56" t="s">
        <v>430</v>
      </c>
      <c r="O56" t="s">
        <v>431</v>
      </c>
    </row>
    <row r="57" spans="1:16">
      <c r="A57" t="s">
        <v>105</v>
      </c>
      <c r="B57" t="s">
        <v>229</v>
      </c>
      <c r="C57" t="s">
        <v>230</v>
      </c>
      <c r="D57" t="s">
        <v>231</v>
      </c>
      <c r="N57" t="s">
        <v>432</v>
      </c>
      <c r="O57" t="s">
        <v>433</v>
      </c>
    </row>
    <row r="58" spans="1:16">
      <c r="A58" t="s">
        <v>107</v>
      </c>
      <c r="B58" t="s">
        <v>232</v>
      </c>
      <c r="C58" t="s">
        <v>233</v>
      </c>
      <c r="D58" t="s">
        <v>234</v>
      </c>
      <c r="N58" t="s">
        <v>434</v>
      </c>
      <c r="O58" t="s">
        <v>435</v>
      </c>
    </row>
    <row r="59" spans="1:16">
      <c r="A59" t="s">
        <v>108</v>
      </c>
      <c r="B59" t="s">
        <v>235</v>
      </c>
      <c r="C59" t="s">
        <v>236</v>
      </c>
      <c r="D59" t="s">
        <v>237</v>
      </c>
      <c r="N59" t="s">
        <v>436</v>
      </c>
      <c r="O59" t="s">
        <v>437</v>
      </c>
    </row>
    <row r="62" spans="1:16">
      <c r="A62" t="s">
        <v>238</v>
      </c>
    </row>
    <row r="64" spans="1:16">
      <c r="A64" t="s">
        <v>239</v>
      </c>
    </row>
    <row r="66" spans="1:3">
      <c r="A66" t="s">
        <v>240</v>
      </c>
    </row>
    <row r="70" spans="1:3">
      <c r="A70" t="s">
        <v>241</v>
      </c>
    </row>
    <row r="72" spans="1:3">
      <c r="A72" t="s">
        <v>198</v>
      </c>
      <c r="B72" t="s">
        <v>189</v>
      </c>
      <c r="C72" t="s">
        <v>242</v>
      </c>
    </row>
    <row r="73" spans="1:3">
      <c r="A73" t="s">
        <v>108</v>
      </c>
      <c r="B73" t="s">
        <v>243</v>
      </c>
      <c r="C73" t="s">
        <v>244</v>
      </c>
    </row>
    <row r="74" spans="1:3">
      <c r="A74" t="s">
        <v>107</v>
      </c>
      <c r="B74" t="s">
        <v>245</v>
      </c>
      <c r="C74" t="s">
        <v>246</v>
      </c>
    </row>
    <row r="75" spans="1:3">
      <c r="A75" t="s">
        <v>105</v>
      </c>
      <c r="B75" t="s">
        <v>247</v>
      </c>
      <c r="C75" t="s">
        <v>248</v>
      </c>
    </row>
    <row r="76" spans="1:3">
      <c r="A76" t="s">
        <v>104</v>
      </c>
      <c r="B76" t="s">
        <v>249</v>
      </c>
      <c r="C76" t="s">
        <v>250</v>
      </c>
    </row>
    <row r="79" spans="1:3">
      <c r="A79" t="s">
        <v>194</v>
      </c>
    </row>
    <row r="81" spans="1:1">
      <c r="A81" t="s">
        <v>251</v>
      </c>
    </row>
    <row r="83" spans="1:1">
      <c r="A83" t="s">
        <v>252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2E19-AB74-4C4D-B3C0-E901596E983E}">
  <dimension ref="A2:L14"/>
  <sheetViews>
    <sheetView workbookViewId="0">
      <selection activeCell="L11" sqref="A2:L11"/>
    </sheetView>
  </sheetViews>
  <sheetFormatPr defaultRowHeight="18"/>
  <cols>
    <col min="2" max="2" width="28.08203125" bestFit="1" customWidth="1"/>
    <col min="3" max="4" width="19.33203125" bestFit="1" customWidth="1"/>
    <col min="5" max="5" width="13.9140625" bestFit="1" customWidth="1"/>
    <col min="6" max="6" width="20.4140625" bestFit="1" customWidth="1"/>
    <col min="7" max="7" width="13.9140625" bestFit="1" customWidth="1"/>
    <col min="8" max="8" width="12.9140625" bestFit="1" customWidth="1"/>
    <col min="9" max="9" width="19.4140625" bestFit="1" customWidth="1"/>
    <col min="10" max="11" width="14.4140625" bestFit="1" customWidth="1"/>
    <col min="12" max="12" width="19.4140625" bestFit="1" customWidth="1"/>
  </cols>
  <sheetData>
    <row r="2" spans="1:12">
      <c r="B2" t="s">
        <v>48</v>
      </c>
    </row>
    <row r="3" spans="1:12">
      <c r="B3" s="5" t="s">
        <v>115</v>
      </c>
      <c r="C3" s="5" t="s">
        <v>127</v>
      </c>
      <c r="D3" s="5" t="s">
        <v>7</v>
      </c>
      <c r="E3" s="5" t="s">
        <v>8</v>
      </c>
      <c r="F3" s="5" t="s">
        <v>128</v>
      </c>
      <c r="G3" s="5" t="s">
        <v>50</v>
      </c>
      <c r="H3" s="5" t="s">
        <v>60</v>
      </c>
      <c r="I3" s="5" t="s">
        <v>131</v>
      </c>
      <c r="J3" s="5" t="s">
        <v>62</v>
      </c>
      <c r="K3" t="s">
        <v>61</v>
      </c>
      <c r="L3" t="s">
        <v>149</v>
      </c>
    </row>
    <row r="4" spans="1:12">
      <c r="B4" t="s">
        <v>113</v>
      </c>
      <c r="C4" s="25">
        <f>SUM(方収!C3:C137)</f>
        <v>70974</v>
      </c>
      <c r="D4" s="25">
        <f>SUM(方収!D3:D137)</f>
        <v>35568</v>
      </c>
      <c r="E4" s="25">
        <f>SUM(方収!E3:E137)</f>
        <v>526</v>
      </c>
      <c r="F4" s="25">
        <f>SUM(C4:D4)</f>
        <v>106542</v>
      </c>
      <c r="G4" s="25">
        <v>560</v>
      </c>
      <c r="H4" s="25">
        <v>58.8</v>
      </c>
      <c r="I4" s="25">
        <f>F4/G4</f>
        <v>190.25357142857143</v>
      </c>
      <c r="J4" s="25">
        <f>C4/F4*100</f>
        <v>66.615982429464438</v>
      </c>
      <c r="K4" s="25">
        <f>D4/F4*100</f>
        <v>33.384017570535562</v>
      </c>
      <c r="L4" s="25">
        <f>F4 /H4  * 100 / 1000</f>
        <v>181.19387755102042</v>
      </c>
    </row>
    <row r="5" spans="1:12">
      <c r="B5" t="s">
        <v>114</v>
      </c>
      <c r="C5" s="25">
        <f>SUM(方収!H3:H129)</f>
        <v>110072</v>
      </c>
      <c r="D5" s="25">
        <f>SUM(方収!I3:I129)</f>
        <v>75951</v>
      </c>
      <c r="E5" s="25">
        <f>SUM(方収!J3:J129)</f>
        <v>705</v>
      </c>
      <c r="F5" s="25">
        <f>SUM(C5:D5)</f>
        <v>186023</v>
      </c>
      <c r="G5" s="25">
        <v>1270</v>
      </c>
      <c r="H5" s="25">
        <v>75.2</v>
      </c>
      <c r="I5" s="25">
        <f>F5/G5</f>
        <v>146.47480314960629</v>
      </c>
      <c r="J5" s="25">
        <f>C5/F5*100</f>
        <v>59.171177757589113</v>
      </c>
      <c r="K5" s="25">
        <f>D5/F5*100</f>
        <v>40.828822242410887</v>
      </c>
      <c r="L5" s="25">
        <f>F5 /H5  * 100 / 1000</f>
        <v>247.37101063829786</v>
      </c>
    </row>
    <row r="6" spans="1:12">
      <c r="B6" s="14" t="s">
        <v>56</v>
      </c>
      <c r="C6" s="25">
        <f>SUM(C4:C5)</f>
        <v>181046</v>
      </c>
      <c r="D6" s="25">
        <f t="shared" ref="D6:L6" si="0">SUM(D4:D5)</f>
        <v>111519</v>
      </c>
      <c r="E6" s="25">
        <f t="shared" si="0"/>
        <v>1231</v>
      </c>
      <c r="F6" s="25">
        <f t="shared" si="0"/>
        <v>292565</v>
      </c>
      <c r="G6" s="25">
        <f t="shared" si="0"/>
        <v>1830</v>
      </c>
      <c r="H6" s="25">
        <f t="shared" si="0"/>
        <v>134</v>
      </c>
      <c r="I6" s="25">
        <f t="shared" si="0"/>
        <v>336.72837457817775</v>
      </c>
      <c r="J6" s="25">
        <f t="shared" si="0"/>
        <v>125.78716018705356</v>
      </c>
      <c r="K6" s="25">
        <f t="shared" si="0"/>
        <v>74.212839812946441</v>
      </c>
      <c r="L6" s="25">
        <f t="shared" si="0"/>
        <v>428.56488818931825</v>
      </c>
    </row>
    <row r="7" spans="1:12">
      <c r="B7" s="14" t="s">
        <v>57</v>
      </c>
      <c r="C7" s="25">
        <f>AVERAGE(C4:C5)</f>
        <v>90523</v>
      </c>
      <c r="D7" s="25">
        <f t="shared" ref="D7:L7" si="1">AVERAGE(D4:D5)</f>
        <v>55759.5</v>
      </c>
      <c r="E7" s="25">
        <f t="shared" si="1"/>
        <v>615.5</v>
      </c>
      <c r="F7" s="25">
        <f t="shared" si="1"/>
        <v>146282.5</v>
      </c>
      <c r="G7" s="25">
        <f t="shared" si="1"/>
        <v>915</v>
      </c>
      <c r="H7" s="25">
        <f t="shared" si="1"/>
        <v>67</v>
      </c>
      <c r="I7" s="25">
        <f t="shared" si="1"/>
        <v>168.36418728908887</v>
      </c>
      <c r="J7" s="25">
        <f t="shared" si="1"/>
        <v>62.893580093526779</v>
      </c>
      <c r="K7" s="25">
        <f t="shared" si="1"/>
        <v>37.106419906473221</v>
      </c>
      <c r="L7" s="25">
        <f t="shared" si="1"/>
        <v>214.28244409465913</v>
      </c>
    </row>
    <row r="8" spans="1:12">
      <c r="A8" t="s">
        <v>87</v>
      </c>
      <c r="B8" s="15" t="s">
        <v>113</v>
      </c>
      <c r="C8" s="25">
        <f>C4-90523</f>
        <v>-19549</v>
      </c>
      <c r="D8" s="25">
        <f>D4-55795</f>
        <v>-20227</v>
      </c>
      <c r="E8" s="25">
        <f>E4-615.5</f>
        <v>-89.5</v>
      </c>
      <c r="F8" s="25">
        <f>F4-146282.5</f>
        <v>-39740.5</v>
      </c>
      <c r="G8" s="25"/>
      <c r="H8" s="25"/>
      <c r="I8" s="25">
        <f>I4-208.03</f>
        <v>-17.776428571428568</v>
      </c>
      <c r="J8" s="25"/>
      <c r="K8" s="25"/>
      <c r="L8" s="25">
        <f>L4-229.021</f>
        <v>-47.827122448979566</v>
      </c>
    </row>
    <row r="9" spans="1:12">
      <c r="B9" s="15" t="s">
        <v>114</v>
      </c>
      <c r="C9" s="25">
        <f>C5-90523</f>
        <v>19549</v>
      </c>
      <c r="D9" s="25">
        <f>D5-55795</f>
        <v>20156</v>
      </c>
      <c r="E9" s="25">
        <f>E5-615.5</f>
        <v>89.5</v>
      </c>
      <c r="F9" s="25">
        <f>F5-146282.5</f>
        <v>39740.5</v>
      </c>
      <c r="G9" s="25"/>
      <c r="H9" s="25"/>
      <c r="I9" s="25">
        <f>I5-208.03</f>
        <v>-61.555196850393713</v>
      </c>
      <c r="J9" s="25"/>
      <c r="K9" s="25"/>
      <c r="L9" s="25">
        <f>L5-229.021</f>
        <v>18.350010638297874</v>
      </c>
    </row>
    <row r="10" spans="1:12">
      <c r="B10" s="15" t="s">
        <v>89</v>
      </c>
      <c r="C10" s="25" cm="1">
        <f t="array" ref="C10">SUM(C8:C9*C8:C9)/COUNT(C8:C9)</f>
        <v>382163401</v>
      </c>
      <c r="D10" s="25" cm="1">
        <f t="array" ref="D10">SUM(D8:D9*D8:D9)/COUNT(D8:D9)</f>
        <v>407697932.5</v>
      </c>
      <c r="E10" s="25" cm="1">
        <f t="array" ref="E10">SUM(E8:E9*E8:E9)/COUNT(E8:E9)</f>
        <v>8010.25</v>
      </c>
      <c r="F10" s="25" cm="1">
        <f t="array" ref="F10">SUM(F8:F9*F8:F9)/COUNT(F8:F9)</f>
        <v>1579307340.25</v>
      </c>
      <c r="G10" s="25"/>
      <c r="H10" s="25"/>
      <c r="I10" s="25" cm="1">
        <f t="array" ref="I10">SUM(I8:I9*I8:I9)/COUNT(I8:I9)</f>
        <v>2052.521836022911</v>
      </c>
      <c r="J10" s="25"/>
      <c r="K10" s="25"/>
      <c r="L10" s="25" cm="1">
        <f t="array" ref="L10">SUM(L8:L9*L8:L9)/COUNT(L8:L9)</f>
        <v>1312.0782660876653</v>
      </c>
    </row>
    <row r="11" spans="1:12">
      <c r="B11" s="15" t="s">
        <v>58</v>
      </c>
      <c r="C11" s="25">
        <f>SQRT(C10)</f>
        <v>19549</v>
      </c>
      <c r="D11" s="25">
        <f t="shared" ref="D11:F11" si="2">SQRT(D10)</f>
        <v>20191.531207414657</v>
      </c>
      <c r="E11" s="25">
        <f t="shared" si="2"/>
        <v>89.5</v>
      </c>
      <c r="F11" s="25">
        <f t="shared" si="2"/>
        <v>39740.5</v>
      </c>
      <c r="G11" s="25"/>
      <c r="H11" s="25"/>
      <c r="I11" s="25"/>
      <c r="J11" s="25"/>
      <c r="K11" s="25"/>
      <c r="L11" s="25"/>
    </row>
    <row r="14" spans="1:12">
      <c r="C14" s="11"/>
      <c r="D14" s="11"/>
      <c r="E14" s="11"/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DDE0-B7FF-4B44-B381-5AE115F16872}">
  <dimension ref="A1:D89"/>
  <sheetViews>
    <sheetView workbookViewId="0">
      <selection activeCell="A4" sqref="A4"/>
    </sheetView>
  </sheetViews>
  <sheetFormatPr defaultRowHeight="18"/>
  <cols>
    <col min="1" max="1" width="19.75" customWidth="1"/>
    <col min="2" max="2" width="17.58203125" customWidth="1"/>
    <col min="3" max="3" width="16.4140625" customWidth="1"/>
  </cols>
  <sheetData>
    <row r="1" spans="1:4">
      <c r="A1" t="s">
        <v>157</v>
      </c>
    </row>
    <row r="3" spans="1:4">
      <c r="A3" t="s">
        <v>140</v>
      </c>
      <c r="B3" t="s">
        <v>146</v>
      </c>
      <c r="C3" t="s">
        <v>143</v>
      </c>
      <c r="D3" t="s">
        <v>158</v>
      </c>
    </row>
    <row r="4" spans="1:4">
      <c r="A4" t="s">
        <v>141</v>
      </c>
      <c r="B4" s="24">
        <v>106542</v>
      </c>
      <c r="C4" s="24">
        <v>186023</v>
      </c>
      <c r="D4" t="s">
        <v>159</v>
      </c>
    </row>
    <row r="5" spans="1:4">
      <c r="A5" t="s">
        <v>160</v>
      </c>
      <c r="B5" s="23">
        <v>0.66620000000000001</v>
      </c>
      <c r="C5" s="23">
        <v>0.5917</v>
      </c>
      <c r="D5" t="s">
        <v>161</v>
      </c>
    </row>
    <row r="6" spans="1:4">
      <c r="A6" t="s">
        <v>61</v>
      </c>
      <c r="B6" s="23">
        <v>0.33379999999999999</v>
      </c>
      <c r="C6" s="23">
        <v>0.4083</v>
      </c>
      <c r="D6" t="s">
        <v>162</v>
      </c>
    </row>
    <row r="8" spans="1:4">
      <c r="A8" t="s">
        <v>163</v>
      </c>
    </row>
    <row r="10" spans="1:4">
      <c r="A10" t="s">
        <v>164</v>
      </c>
    </row>
    <row r="12" spans="1:4">
      <c r="A12" t="s">
        <v>165</v>
      </c>
    </row>
    <row r="16" spans="1:4">
      <c r="A16" t="s">
        <v>166</v>
      </c>
    </row>
    <row r="18" spans="1:4">
      <c r="A18" t="s">
        <v>140</v>
      </c>
      <c r="B18" t="s">
        <v>146</v>
      </c>
      <c r="C18" t="s">
        <v>147</v>
      </c>
      <c r="D18" t="s">
        <v>132</v>
      </c>
    </row>
    <row r="19" spans="1:4">
      <c r="A19" t="s">
        <v>135</v>
      </c>
      <c r="B19">
        <v>190.25</v>
      </c>
      <c r="C19">
        <v>146.47</v>
      </c>
      <c r="D19">
        <v>168.36</v>
      </c>
    </row>
    <row r="20" spans="1:4">
      <c r="A20" t="s">
        <v>150</v>
      </c>
      <c r="B20">
        <v>181.19</v>
      </c>
      <c r="C20">
        <v>247.37</v>
      </c>
      <c r="D20">
        <v>214.28</v>
      </c>
    </row>
    <row r="22" spans="1:4">
      <c r="A22" t="s">
        <v>167</v>
      </c>
    </row>
    <row r="24" spans="1:4">
      <c r="A24" t="s">
        <v>168</v>
      </c>
    </row>
    <row r="26" spans="1:4">
      <c r="A26" t="s">
        <v>169</v>
      </c>
    </row>
    <row r="30" spans="1:4">
      <c r="A30" t="s">
        <v>170</v>
      </c>
    </row>
    <row r="32" spans="1:4">
      <c r="A32" t="s">
        <v>171</v>
      </c>
    </row>
    <row r="36" spans="1:1">
      <c r="A36" t="s">
        <v>172</v>
      </c>
    </row>
    <row r="38" spans="1:1">
      <c r="A38" t="s">
        <v>173</v>
      </c>
    </row>
    <row r="40" spans="1:1">
      <c r="A40" t="s">
        <v>174</v>
      </c>
    </row>
    <row r="44" spans="1:1">
      <c r="A44" t="s">
        <v>175</v>
      </c>
    </row>
    <row r="46" spans="1:1">
      <c r="A46" t="s">
        <v>176</v>
      </c>
    </row>
    <row r="50" spans="1:1">
      <c r="A50" t="s">
        <v>177</v>
      </c>
    </row>
    <row r="52" spans="1:1">
      <c r="A52" t="s">
        <v>178</v>
      </c>
    </row>
    <row r="56" spans="1:1">
      <c r="A56" t="s">
        <v>179</v>
      </c>
    </row>
    <row r="58" spans="1:1">
      <c r="A58" t="s">
        <v>180</v>
      </c>
    </row>
    <row r="60" spans="1:1">
      <c r="A60" t="s">
        <v>181</v>
      </c>
    </row>
    <row r="64" spans="1:1">
      <c r="A64" t="s">
        <v>182</v>
      </c>
    </row>
    <row r="66" spans="1:3">
      <c r="A66" t="s">
        <v>183</v>
      </c>
    </row>
    <row r="70" spans="1:3">
      <c r="A70" t="s">
        <v>184</v>
      </c>
    </row>
    <row r="72" spans="1:3">
      <c r="A72" t="s">
        <v>185</v>
      </c>
    </row>
    <row r="74" spans="1:3">
      <c r="A74" t="s">
        <v>186</v>
      </c>
    </row>
    <row r="78" spans="1:3">
      <c r="A78" t="s">
        <v>187</v>
      </c>
    </row>
    <row r="80" spans="1:3">
      <c r="A80" t="s">
        <v>188</v>
      </c>
      <c r="B80" t="s">
        <v>189</v>
      </c>
      <c r="C80" t="s">
        <v>148</v>
      </c>
    </row>
    <row r="81" spans="1:3">
      <c r="A81" t="s">
        <v>146</v>
      </c>
      <c r="B81" t="s">
        <v>190</v>
      </c>
      <c r="C81" t="s">
        <v>191</v>
      </c>
    </row>
    <row r="82" spans="1:3">
      <c r="A82" t="s">
        <v>143</v>
      </c>
      <c r="B82" t="s">
        <v>192</v>
      </c>
      <c r="C82" t="s">
        <v>193</v>
      </c>
    </row>
    <row r="85" spans="1:3">
      <c r="A85" t="s">
        <v>194</v>
      </c>
    </row>
    <row r="87" spans="1:3">
      <c r="A87" t="s">
        <v>195</v>
      </c>
    </row>
    <row r="89" spans="1:3">
      <c r="A89" t="s">
        <v>196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8591-576D-41E3-9A00-103AA9AB5106}">
  <dimension ref="B2:V137"/>
  <sheetViews>
    <sheetView zoomScale="108" workbookViewId="0">
      <selection activeCell="E1" sqref="E1"/>
    </sheetView>
  </sheetViews>
  <sheetFormatPr defaultRowHeight="18"/>
  <cols>
    <col min="7" max="7" width="14" customWidth="1"/>
  </cols>
  <sheetData>
    <row r="2" spans="2:22">
      <c r="B2" t="s">
        <v>113</v>
      </c>
      <c r="G2" t="s">
        <v>114</v>
      </c>
      <c r="N2" t="s">
        <v>121</v>
      </c>
      <c r="S2" t="s">
        <v>120</v>
      </c>
    </row>
    <row r="3" spans="2:22">
      <c r="B3" t="str" cm="1">
        <f t="array" ref="B3:E137">_xlfn._xlws.FILTER(元!E5:H448, 元!E5:E448="紅ほっぺ")</f>
        <v>紅ほっぺ</v>
      </c>
      <c r="C3">
        <v>80</v>
      </c>
      <c r="D3">
        <v>0</v>
      </c>
      <c r="E3">
        <v>0</v>
      </c>
      <c r="G3" t="str" cm="1">
        <f t="array" ref="G3:J129">_xlfn._xlws.FILTER(元!E5:H448, (ISNUMBER(SEARCH("断", 元!E5:E448))) + (ISNUMBER(SEARCH("無", 元!E5:E448))) )</f>
        <v>紅ほっぺ(断）</v>
      </c>
      <c r="H3">
        <v>100</v>
      </c>
      <c r="I3">
        <v>0</v>
      </c>
      <c r="J3">
        <v>1</v>
      </c>
      <c r="M3" s="9"/>
      <c r="N3" t="s">
        <v>27</v>
      </c>
      <c r="O3">
        <f>SUM(企収!AN3:AN24)</f>
        <v>12480</v>
      </c>
      <c r="P3">
        <f>SUM(企収!AO3:AO24)</f>
        <v>5707</v>
      </c>
      <c r="Q3">
        <f>SUM(企収!AP3:AP24)</f>
        <v>92</v>
      </c>
      <c r="S3" t="s">
        <v>118</v>
      </c>
      <c r="T3">
        <f>SUM(企収!D134:D171)</f>
        <v>46714</v>
      </c>
      <c r="U3">
        <f>SUM(企収!E134:E171)</f>
        <v>29233</v>
      </c>
      <c r="V3">
        <f>SUM(企収!F134:F171)</f>
        <v>326</v>
      </c>
    </row>
    <row r="4" spans="2:22">
      <c r="B4" t="str">
        <v>紅ほっぺ</v>
      </c>
      <c r="C4">
        <v>120</v>
      </c>
      <c r="D4">
        <v>0</v>
      </c>
      <c r="E4">
        <v>0</v>
      </c>
      <c r="G4" t="str">
        <v>紅ほっぺ（断）</v>
      </c>
      <c r="H4">
        <v>46</v>
      </c>
      <c r="I4">
        <v>0</v>
      </c>
      <c r="J4">
        <v>0</v>
      </c>
      <c r="N4" t="s">
        <v>29</v>
      </c>
      <c r="O4">
        <f>SUM(企収!AZ3:AZ19)</f>
        <v>4630</v>
      </c>
      <c r="P4">
        <f>SUM(企収!BA3:BA19)</f>
        <v>3524</v>
      </c>
      <c r="Q4">
        <f>SUM(企収!BB3:BB19)</f>
        <v>47</v>
      </c>
      <c r="S4" t="s">
        <v>13</v>
      </c>
      <c r="T4">
        <f>SUM(企収!J3:J17)</f>
        <v>2616</v>
      </c>
      <c r="U4">
        <f>SUM(企収!K3:K17)</f>
        <v>2900</v>
      </c>
      <c r="V4">
        <f>SUM(企収!L3:L17)</f>
        <v>9</v>
      </c>
    </row>
    <row r="5" spans="2:22">
      <c r="B5" t="str">
        <v>紅ほっぺ</v>
      </c>
      <c r="C5">
        <v>100</v>
      </c>
      <c r="D5">
        <v>0</v>
      </c>
      <c r="E5">
        <v>0</v>
      </c>
      <c r="G5" t="str">
        <v>紅ほっぺ（断）</v>
      </c>
      <c r="H5">
        <v>130</v>
      </c>
      <c r="I5">
        <v>0</v>
      </c>
      <c r="J5">
        <v>0</v>
      </c>
      <c r="N5" t="s">
        <v>30</v>
      </c>
      <c r="O5">
        <f>SUM(企収!BF3:BF24)</f>
        <v>26392</v>
      </c>
      <c r="P5">
        <f>SUM(企収!BG3:BG24)</f>
        <v>9091</v>
      </c>
      <c r="Q5">
        <f>SUM(企収!BH3:BH24)</f>
        <v>198</v>
      </c>
      <c r="S5" t="s">
        <v>17</v>
      </c>
      <c r="T5">
        <f>SUM(企収!P3:P23)</f>
        <v>4527</v>
      </c>
      <c r="U5">
        <f>SUM(企収!Q3:Q23)</f>
        <v>2536</v>
      </c>
      <c r="V5">
        <f>SUM(企収!R3:R23)</f>
        <v>25</v>
      </c>
    </row>
    <row r="6" spans="2:22">
      <c r="B6" t="str">
        <v>紅ほっぺ</v>
      </c>
      <c r="C6">
        <v>960</v>
      </c>
      <c r="D6">
        <v>0</v>
      </c>
      <c r="E6">
        <v>5</v>
      </c>
      <c r="G6" t="str">
        <v>紅ほっぺ（断）</v>
      </c>
      <c r="H6">
        <v>100</v>
      </c>
      <c r="I6">
        <v>0</v>
      </c>
      <c r="J6">
        <v>0</v>
      </c>
      <c r="N6" t="s">
        <v>35</v>
      </c>
      <c r="O6">
        <f>SUM(企収!BR3:BR22)</f>
        <v>6730</v>
      </c>
      <c r="P6">
        <f>SUM(企収!BS3:BS22)</f>
        <v>4350</v>
      </c>
      <c r="Q6">
        <f>SUM(企収!BT3:BT22)</f>
        <v>48</v>
      </c>
      <c r="S6" t="s">
        <v>19</v>
      </c>
      <c r="T6">
        <f>SUM(企収!U91:U100)+SUM(企収!U78:U87)</f>
        <v>38160</v>
      </c>
      <c r="U6">
        <f>SUM(企収!V91:V100)+SUM(企収!V78:V87)</f>
        <v>26889</v>
      </c>
      <c r="V6">
        <f>SUM(企収!W91:W100)+SUM(企収!W78:W87)</f>
        <v>206</v>
      </c>
    </row>
    <row r="7" spans="2:22">
      <c r="B7" t="str">
        <v>紅ほっぺ</v>
      </c>
      <c r="C7">
        <v>3940</v>
      </c>
      <c r="D7">
        <v>0</v>
      </c>
      <c r="E7">
        <v>28</v>
      </c>
      <c r="G7" t="str">
        <v>紅ほっぺ（断）</v>
      </c>
      <c r="H7">
        <v>320</v>
      </c>
      <c r="I7">
        <v>0</v>
      </c>
      <c r="J7">
        <v>3</v>
      </c>
      <c r="N7" t="s">
        <v>36</v>
      </c>
      <c r="O7">
        <f>SUM(企収!CD3:CD26)</f>
        <v>6230</v>
      </c>
      <c r="P7">
        <f>SUM(企収!CE3:CE26)</f>
        <v>5714</v>
      </c>
      <c r="Q7">
        <f>SUM(企収!CF3:CF26)</f>
        <v>42</v>
      </c>
      <c r="S7" t="s">
        <v>26</v>
      </c>
      <c r="T7">
        <f>SUM(企収!AG60:AG73)+SUM(企収!AG75:AG86)</f>
        <v>18472</v>
      </c>
      <c r="U7">
        <f>SUM(企収!AH60:AH73)+SUM(企収!AH75:AH86)</f>
        <v>11223</v>
      </c>
      <c r="V7">
        <f>SUM(企収!AI60:AI73)+SUM(企収!AI75:AI86)</f>
        <v>131</v>
      </c>
    </row>
    <row r="8" spans="2:22">
      <c r="B8" t="str">
        <v>紅ほっぺ</v>
      </c>
      <c r="C8">
        <v>340</v>
      </c>
      <c r="D8">
        <v>0</v>
      </c>
      <c r="E8">
        <v>0</v>
      </c>
      <c r="G8" t="str">
        <v>紅ほっぺ（断）</v>
      </c>
      <c r="H8">
        <v>260</v>
      </c>
      <c r="I8">
        <v>0</v>
      </c>
      <c r="J8">
        <v>0</v>
      </c>
      <c r="N8" t="s">
        <v>123</v>
      </c>
      <c r="O8">
        <f>企収!CJ7+企収!CJ9+企収!CJ11+企収!CJ13+企収!CJ15+企収!CJ17</f>
        <v>740</v>
      </c>
      <c r="P8">
        <f>企収!CK7+企収!CK9+企収!CK11+企収!CK13+企収!CK15+企収!CK17</f>
        <v>419</v>
      </c>
      <c r="Q8">
        <f>企収!CL7+企収!CL9+企収!CL11+企収!CL13+企収!CL15+企収!CL17</f>
        <v>26</v>
      </c>
      <c r="S8" t="s">
        <v>28</v>
      </c>
      <c r="T8">
        <f>SUM(企収!AT3:AT25)</f>
        <v>9595</v>
      </c>
      <c r="U8">
        <f>SUM(企収!AU3:AU25)</f>
        <v>7843</v>
      </c>
      <c r="V8">
        <f>SUM(企収!AV3:AV25)</f>
        <v>66</v>
      </c>
    </row>
    <row r="9" spans="2:22">
      <c r="B9" t="str">
        <v>紅ほっぺ</v>
      </c>
      <c r="C9">
        <v>1140</v>
      </c>
      <c r="D9">
        <v>0</v>
      </c>
      <c r="E9">
        <v>0</v>
      </c>
      <c r="G9" t="str">
        <v>紅ほっぺ（断）</v>
      </c>
      <c r="H9">
        <v>195</v>
      </c>
      <c r="I9">
        <v>0</v>
      </c>
      <c r="J9">
        <v>0</v>
      </c>
      <c r="S9" t="s">
        <v>31</v>
      </c>
      <c r="T9">
        <f>SUM(企収!CJ3:CJ18)-O8</f>
        <v>3860</v>
      </c>
      <c r="U9">
        <f>SUM(企収!CK3:CK18)-P8</f>
        <v>2090</v>
      </c>
      <c r="V9">
        <f>SUM(企収!CL3:CL18)-Q8</f>
        <v>15</v>
      </c>
    </row>
    <row r="10" spans="2:22">
      <c r="B10" t="str">
        <v>紅ほっぺ</v>
      </c>
      <c r="C10">
        <v>600</v>
      </c>
      <c r="D10">
        <v>0</v>
      </c>
      <c r="E10">
        <v>5</v>
      </c>
      <c r="G10" t="str">
        <v>紅ほっぺ（断）</v>
      </c>
      <c r="H10">
        <v>170</v>
      </c>
      <c r="I10">
        <v>0</v>
      </c>
      <c r="J10">
        <v>0</v>
      </c>
      <c r="O10">
        <f>SUM(O3:O8)</f>
        <v>57202</v>
      </c>
      <c r="P10">
        <f t="shared" ref="P10:Q10" si="0">SUM(P3:P8)</f>
        <v>28805</v>
      </c>
      <c r="Q10">
        <f t="shared" si="0"/>
        <v>453</v>
      </c>
    </row>
    <row r="11" spans="2:22">
      <c r="B11" t="str">
        <v>紅ほっぺ</v>
      </c>
      <c r="C11">
        <v>980</v>
      </c>
      <c r="D11">
        <v>0</v>
      </c>
      <c r="E11">
        <v>8</v>
      </c>
      <c r="G11" t="str">
        <v>紅ほっぺ（断）</v>
      </c>
      <c r="H11">
        <v>320</v>
      </c>
      <c r="I11">
        <v>0</v>
      </c>
      <c r="J11">
        <v>0</v>
      </c>
      <c r="T11">
        <f>SUM(T3:T9)</f>
        <v>123944</v>
      </c>
      <c r="U11">
        <f t="shared" ref="U11:V11" si="1">SUM(U3:U9)</f>
        <v>82714</v>
      </c>
      <c r="V11">
        <f t="shared" si="1"/>
        <v>778</v>
      </c>
    </row>
    <row r="12" spans="2:22">
      <c r="B12" t="str">
        <v>紅ほっぺ</v>
      </c>
      <c r="C12">
        <v>500</v>
      </c>
      <c r="D12">
        <v>0</v>
      </c>
      <c r="E12">
        <v>3</v>
      </c>
      <c r="G12" t="str">
        <v>紅ほっぺ（断）</v>
      </c>
      <c r="H12">
        <v>200</v>
      </c>
      <c r="I12">
        <v>0</v>
      </c>
      <c r="J12">
        <v>0</v>
      </c>
    </row>
    <row r="13" spans="2:22">
      <c r="B13" t="str">
        <v>紅ほっぺ</v>
      </c>
      <c r="C13">
        <v>1500</v>
      </c>
      <c r="D13">
        <v>0</v>
      </c>
      <c r="E13">
        <v>13</v>
      </c>
      <c r="G13" t="str">
        <v>紅ほっぺ（断）</v>
      </c>
      <c r="H13">
        <v>540</v>
      </c>
      <c r="I13">
        <v>0</v>
      </c>
      <c r="J13">
        <v>3</v>
      </c>
    </row>
    <row r="14" spans="2:22">
      <c r="B14" t="str">
        <v>紅ほっぺ</v>
      </c>
      <c r="C14">
        <v>1320</v>
      </c>
      <c r="D14">
        <v>0</v>
      </c>
      <c r="E14">
        <v>11</v>
      </c>
      <c r="G14" t="str">
        <v>紅ほっぺ（断）</v>
      </c>
      <c r="H14">
        <v>260</v>
      </c>
      <c r="I14">
        <v>0</v>
      </c>
      <c r="J14">
        <v>0</v>
      </c>
      <c r="O14">
        <f>O10+T11</f>
        <v>181146</v>
      </c>
      <c r="P14">
        <f t="shared" ref="P14:Q14" si="2">P10+U11</f>
        <v>111519</v>
      </c>
      <c r="Q14">
        <f t="shared" si="2"/>
        <v>1231</v>
      </c>
    </row>
    <row r="15" spans="2:22">
      <c r="B15" t="str">
        <v>紅ほっぺ</v>
      </c>
      <c r="C15">
        <v>820</v>
      </c>
      <c r="D15">
        <v>0</v>
      </c>
      <c r="E15">
        <v>7</v>
      </c>
      <c r="G15" t="str">
        <v>紅ほっぺ（断）</v>
      </c>
      <c r="H15">
        <v>120</v>
      </c>
      <c r="I15">
        <v>0</v>
      </c>
      <c r="J15">
        <v>0</v>
      </c>
      <c r="O15">
        <v>242.3</v>
      </c>
      <c r="P15">
        <v>457.1</v>
      </c>
      <c r="Q15">
        <v>699.39999999999986</v>
      </c>
      <c r="R15">
        <v>1235</v>
      </c>
    </row>
    <row r="16" spans="2:22">
      <c r="B16" t="str">
        <v>紅ほっぺ</v>
      </c>
      <c r="C16">
        <v>740</v>
      </c>
      <c r="D16">
        <v>0</v>
      </c>
      <c r="E16">
        <v>6</v>
      </c>
      <c r="G16" t="str">
        <v>紅ほっぺ（断）</v>
      </c>
      <c r="H16">
        <v>80</v>
      </c>
      <c r="I16">
        <v>0</v>
      </c>
      <c r="J16">
        <v>0</v>
      </c>
    </row>
    <row r="17" spans="2:10">
      <c r="B17" t="str">
        <v>紅ほっぺ</v>
      </c>
      <c r="C17">
        <v>886</v>
      </c>
      <c r="D17">
        <v>654</v>
      </c>
      <c r="E17">
        <v>8</v>
      </c>
      <c r="G17" t="str">
        <v>紅ほっぺ（断）</v>
      </c>
      <c r="H17">
        <v>400</v>
      </c>
      <c r="I17">
        <v>0</v>
      </c>
      <c r="J17">
        <v>0</v>
      </c>
    </row>
    <row r="18" spans="2:10">
      <c r="B18" t="str">
        <v>紅ほっぺ</v>
      </c>
      <c r="C18">
        <v>880</v>
      </c>
      <c r="D18">
        <v>208</v>
      </c>
      <c r="E18">
        <v>7</v>
      </c>
      <c r="G18" t="str">
        <v>紅ほっぺ（断）</v>
      </c>
      <c r="H18">
        <v>120</v>
      </c>
      <c r="I18">
        <v>0</v>
      </c>
      <c r="J18">
        <v>0</v>
      </c>
    </row>
    <row r="19" spans="2:10">
      <c r="B19" t="str">
        <v>紅ほっぺ</v>
      </c>
      <c r="C19">
        <v>1080</v>
      </c>
      <c r="D19">
        <v>740</v>
      </c>
      <c r="E19">
        <v>9</v>
      </c>
      <c r="G19" t="str">
        <v>紅ほっぺ（断）</v>
      </c>
      <c r="H19">
        <v>320</v>
      </c>
      <c r="I19">
        <v>0</v>
      </c>
      <c r="J19">
        <v>0</v>
      </c>
    </row>
    <row r="20" spans="2:10">
      <c r="B20" t="str">
        <v>紅ほっぺ</v>
      </c>
      <c r="C20">
        <v>2732</v>
      </c>
      <c r="D20">
        <v>321</v>
      </c>
      <c r="E20">
        <v>22</v>
      </c>
      <c r="G20" t="str">
        <v>紅ほっぺ（断）</v>
      </c>
      <c r="H20">
        <v>60</v>
      </c>
      <c r="I20">
        <v>0</v>
      </c>
      <c r="J20">
        <v>0</v>
      </c>
    </row>
    <row r="21" spans="2:10">
      <c r="B21" t="str">
        <v>紅ほっぺ</v>
      </c>
      <c r="C21">
        <v>840</v>
      </c>
      <c r="D21">
        <v>147</v>
      </c>
      <c r="E21">
        <v>6</v>
      </c>
      <c r="G21" t="str">
        <v>紅ほっぺ（断）</v>
      </c>
      <c r="H21">
        <v>240</v>
      </c>
      <c r="I21">
        <v>0</v>
      </c>
      <c r="J21">
        <v>0</v>
      </c>
    </row>
    <row r="22" spans="2:10">
      <c r="B22" t="str">
        <v>紅ほっぺ</v>
      </c>
      <c r="C22">
        <v>1620</v>
      </c>
      <c r="D22">
        <v>450</v>
      </c>
      <c r="E22">
        <v>0</v>
      </c>
      <c r="G22" t="str">
        <v>紅ほっぺ（断）</v>
      </c>
      <c r="H22">
        <v>100</v>
      </c>
      <c r="I22">
        <v>0</v>
      </c>
      <c r="J22">
        <v>0</v>
      </c>
    </row>
    <row r="23" spans="2:10">
      <c r="B23" t="str">
        <v>紅ほっぺ</v>
      </c>
      <c r="C23">
        <v>880</v>
      </c>
      <c r="D23">
        <v>94</v>
      </c>
      <c r="E23">
        <v>7</v>
      </c>
      <c r="G23" t="str">
        <v>紅ほっぺ（断）</v>
      </c>
      <c r="H23">
        <v>1120</v>
      </c>
      <c r="I23">
        <v>0</v>
      </c>
      <c r="J23">
        <v>10</v>
      </c>
    </row>
    <row r="24" spans="2:10">
      <c r="B24" t="str">
        <v>紅ほっぺ</v>
      </c>
      <c r="C24">
        <v>1080</v>
      </c>
      <c r="D24">
        <v>430</v>
      </c>
      <c r="E24">
        <v>5</v>
      </c>
      <c r="G24" t="str">
        <v>紅ほっぺ（断）</v>
      </c>
      <c r="H24">
        <v>300</v>
      </c>
      <c r="I24">
        <v>0</v>
      </c>
      <c r="J24">
        <v>1</v>
      </c>
    </row>
    <row r="25" spans="2:10">
      <c r="B25" t="str">
        <v>紅ほっぺ</v>
      </c>
      <c r="C25">
        <v>1480</v>
      </c>
      <c r="D25">
        <v>0</v>
      </c>
      <c r="E25">
        <v>12</v>
      </c>
      <c r="G25" t="str">
        <v>紅ほっぺ（断）</v>
      </c>
      <c r="H25">
        <v>380</v>
      </c>
      <c r="I25">
        <v>0</v>
      </c>
      <c r="J25">
        <v>2</v>
      </c>
    </row>
    <row r="26" spans="2:10">
      <c r="B26" t="str">
        <v>紅ほっぺ</v>
      </c>
      <c r="C26">
        <v>600</v>
      </c>
      <c r="D26">
        <v>90</v>
      </c>
      <c r="E26">
        <v>5</v>
      </c>
      <c r="G26" t="str">
        <v>紅ほっぺ（断）</v>
      </c>
      <c r="H26">
        <v>1480</v>
      </c>
      <c r="I26">
        <v>0</v>
      </c>
      <c r="J26">
        <v>13</v>
      </c>
    </row>
    <row r="27" spans="2:10">
      <c r="B27" t="str">
        <v>紅ほっぺ</v>
      </c>
      <c r="C27">
        <v>2500</v>
      </c>
      <c r="D27">
        <v>760</v>
      </c>
      <c r="E27">
        <v>16</v>
      </c>
      <c r="G27" t="str">
        <v>紅ほっぺ（断）</v>
      </c>
      <c r="H27">
        <v>420</v>
      </c>
      <c r="I27">
        <v>0</v>
      </c>
      <c r="J27">
        <v>3</v>
      </c>
    </row>
    <row r="28" spans="2:10">
      <c r="B28" t="str">
        <v>紅ほっぺ</v>
      </c>
      <c r="C28">
        <v>820</v>
      </c>
      <c r="D28">
        <v>747</v>
      </c>
      <c r="E28">
        <v>8</v>
      </c>
      <c r="G28" t="str">
        <v>紅ほっぺ（断）</v>
      </c>
      <c r="H28">
        <v>2300</v>
      </c>
      <c r="I28">
        <v>0</v>
      </c>
      <c r="J28">
        <v>21</v>
      </c>
    </row>
    <row r="29" spans="2:10">
      <c r="B29" t="str">
        <v>紅ほっぺ</v>
      </c>
      <c r="C29">
        <v>0</v>
      </c>
      <c r="D29">
        <v>0</v>
      </c>
      <c r="E29">
        <v>0</v>
      </c>
      <c r="G29" t="str">
        <v>紅ほっぺ（無）</v>
      </c>
      <c r="H29">
        <v>950</v>
      </c>
      <c r="I29">
        <v>130</v>
      </c>
      <c r="J29">
        <v>8</v>
      </c>
    </row>
    <row r="30" spans="2:10">
      <c r="B30" t="str">
        <v>紅ほっぺ</v>
      </c>
      <c r="C30">
        <v>740</v>
      </c>
      <c r="D30">
        <v>300</v>
      </c>
      <c r="E30">
        <v>4</v>
      </c>
      <c r="G30" t="str">
        <v>紅ほっぺ（無）</v>
      </c>
      <c r="H30">
        <v>380</v>
      </c>
      <c r="I30">
        <v>180</v>
      </c>
      <c r="J30">
        <v>3</v>
      </c>
    </row>
    <row r="31" spans="2:10">
      <c r="B31" t="str">
        <v>紅ほっぺ</v>
      </c>
      <c r="C31">
        <v>300</v>
      </c>
      <c r="D31">
        <v>240</v>
      </c>
      <c r="E31">
        <v>3</v>
      </c>
      <c r="G31" t="str">
        <v>紅ほっぺ（無）</v>
      </c>
      <c r="H31">
        <v>840</v>
      </c>
      <c r="I31">
        <v>80</v>
      </c>
      <c r="J31">
        <v>5</v>
      </c>
    </row>
    <row r="32" spans="2:10">
      <c r="B32" t="str">
        <v>紅ほっぺ</v>
      </c>
      <c r="C32">
        <v>160</v>
      </c>
      <c r="D32">
        <v>380</v>
      </c>
      <c r="E32">
        <v>1</v>
      </c>
      <c r="G32" t="str">
        <v>紅ほっぺ（無）</v>
      </c>
      <c r="H32">
        <v>1240</v>
      </c>
      <c r="I32">
        <v>420</v>
      </c>
      <c r="J32">
        <v>8</v>
      </c>
    </row>
    <row r="33" spans="2:10">
      <c r="B33" t="str">
        <v>紅ほっぺ</v>
      </c>
      <c r="C33">
        <v>780</v>
      </c>
      <c r="D33">
        <v>260</v>
      </c>
      <c r="E33">
        <v>7</v>
      </c>
      <c r="G33" t="str">
        <v>紅ほっぺ（無）</v>
      </c>
      <c r="H33">
        <v>1840</v>
      </c>
      <c r="I33">
        <v>0</v>
      </c>
      <c r="J33">
        <v>17</v>
      </c>
    </row>
    <row r="34" spans="2:10">
      <c r="B34" t="str">
        <v>紅ほっぺ</v>
      </c>
      <c r="C34">
        <v>730</v>
      </c>
      <c r="D34">
        <v>390</v>
      </c>
      <c r="E34">
        <v>5</v>
      </c>
      <c r="G34" t="str">
        <v>紅ほっぺ（無）</v>
      </c>
      <c r="H34">
        <v>2840</v>
      </c>
      <c r="I34">
        <v>1020</v>
      </c>
      <c r="J34">
        <v>26</v>
      </c>
    </row>
    <row r="35" spans="2:10">
      <c r="B35" t="str">
        <v>紅ほっぺ</v>
      </c>
      <c r="C35">
        <v>1960</v>
      </c>
      <c r="D35">
        <v>880</v>
      </c>
      <c r="E35">
        <v>18</v>
      </c>
      <c r="G35" t="str">
        <v>紅ほっぺ（無）</v>
      </c>
      <c r="H35">
        <v>810</v>
      </c>
      <c r="I35">
        <v>660</v>
      </c>
      <c r="J35">
        <v>6</v>
      </c>
    </row>
    <row r="36" spans="2:10">
      <c r="B36" t="str">
        <v>紅ほっぺ</v>
      </c>
      <c r="C36">
        <v>114</v>
      </c>
      <c r="D36">
        <v>366</v>
      </c>
      <c r="E36">
        <v>1</v>
      </c>
      <c r="G36" t="str">
        <v>紅ほっぺ（無）</v>
      </c>
      <c r="H36">
        <v>480</v>
      </c>
      <c r="I36">
        <v>100</v>
      </c>
      <c r="J36">
        <v>3</v>
      </c>
    </row>
    <row r="37" spans="2:10">
      <c r="B37" t="str">
        <v>紅ほっぺ</v>
      </c>
      <c r="C37">
        <v>500</v>
      </c>
      <c r="D37">
        <v>320</v>
      </c>
      <c r="E37">
        <v>0</v>
      </c>
      <c r="G37" t="str">
        <v>紅ほっぺ（無）</v>
      </c>
      <c r="H37">
        <v>460</v>
      </c>
      <c r="I37">
        <v>440</v>
      </c>
      <c r="J37">
        <v>4</v>
      </c>
    </row>
    <row r="38" spans="2:10">
      <c r="B38" t="str">
        <v>紅ほっぺ</v>
      </c>
      <c r="C38">
        <v>0</v>
      </c>
      <c r="D38">
        <v>0</v>
      </c>
      <c r="E38">
        <v>0</v>
      </c>
      <c r="G38" t="str">
        <v>紅ほっぺ（無）</v>
      </c>
      <c r="H38">
        <v>1800</v>
      </c>
      <c r="I38">
        <v>0</v>
      </c>
      <c r="J38">
        <v>8</v>
      </c>
    </row>
    <row r="39" spans="2:10">
      <c r="B39" t="str">
        <v>紅ほっぺ</v>
      </c>
      <c r="C39">
        <v>320</v>
      </c>
      <c r="D39">
        <v>180</v>
      </c>
      <c r="E39">
        <v>3</v>
      </c>
      <c r="G39" t="str">
        <v>紅ほっぺ（無）</v>
      </c>
      <c r="H39">
        <v>2740</v>
      </c>
      <c r="I39">
        <v>470</v>
      </c>
      <c r="J39">
        <v>22</v>
      </c>
    </row>
    <row r="40" spans="2:10">
      <c r="B40" t="str">
        <v>紅ほっぺ</v>
      </c>
      <c r="C40">
        <v>220</v>
      </c>
      <c r="D40">
        <v>180</v>
      </c>
      <c r="E40">
        <v>2</v>
      </c>
      <c r="G40" t="str">
        <v>紅ほっぺ（無）</v>
      </c>
      <c r="H40">
        <v>2160</v>
      </c>
      <c r="I40">
        <v>500</v>
      </c>
      <c r="J40">
        <v>15</v>
      </c>
    </row>
    <row r="41" spans="2:10">
      <c r="B41" t="str">
        <v>紅ほっぺ</v>
      </c>
      <c r="C41">
        <v>520</v>
      </c>
      <c r="D41">
        <v>120</v>
      </c>
      <c r="E41">
        <v>5</v>
      </c>
      <c r="G41" t="str">
        <v>紅ほっぺ（無）</v>
      </c>
      <c r="H41">
        <v>330</v>
      </c>
      <c r="I41">
        <v>190</v>
      </c>
      <c r="J41">
        <v>3</v>
      </c>
    </row>
    <row r="42" spans="2:10">
      <c r="B42" t="str">
        <v>紅ほっぺ</v>
      </c>
      <c r="C42">
        <v>510</v>
      </c>
      <c r="D42">
        <v>90</v>
      </c>
      <c r="E42">
        <v>5</v>
      </c>
      <c r="G42" t="str">
        <v>紅ほっぺ（無）</v>
      </c>
      <c r="H42">
        <v>420</v>
      </c>
      <c r="I42">
        <v>260</v>
      </c>
      <c r="J42">
        <v>4</v>
      </c>
    </row>
    <row r="43" spans="2:10">
      <c r="B43" t="str">
        <v>紅ほっぺ</v>
      </c>
      <c r="C43">
        <v>2440</v>
      </c>
      <c r="D43">
        <v>340</v>
      </c>
      <c r="E43">
        <v>16</v>
      </c>
      <c r="G43" t="str">
        <v>紅ほっぺ（無）</v>
      </c>
      <c r="H43">
        <v>0</v>
      </c>
      <c r="I43">
        <v>0</v>
      </c>
      <c r="J43">
        <v>0</v>
      </c>
    </row>
    <row r="44" spans="2:10">
      <c r="B44" t="str">
        <v>紅ほっぺ</v>
      </c>
      <c r="C44">
        <v>550</v>
      </c>
      <c r="D44">
        <v>230</v>
      </c>
      <c r="E44">
        <v>5</v>
      </c>
      <c r="G44" t="str">
        <v>紅ほっぺ（無）</v>
      </c>
      <c r="H44">
        <v>2300</v>
      </c>
      <c r="I44">
        <v>2707</v>
      </c>
      <c r="J44">
        <v>23</v>
      </c>
    </row>
    <row r="45" spans="2:10">
      <c r="B45" t="str">
        <v>紅ほっぺ</v>
      </c>
      <c r="C45">
        <v>0</v>
      </c>
      <c r="D45">
        <v>0</v>
      </c>
      <c r="E45">
        <v>0</v>
      </c>
      <c r="G45" t="str">
        <v>紅ほっぺ（無）</v>
      </c>
      <c r="H45">
        <v>1468</v>
      </c>
      <c r="I45">
        <v>332</v>
      </c>
      <c r="J45">
        <v>12</v>
      </c>
    </row>
    <row r="46" spans="2:10">
      <c r="B46" t="str">
        <v>紅ほっぺ</v>
      </c>
      <c r="C46">
        <v>0</v>
      </c>
      <c r="D46">
        <v>119</v>
      </c>
      <c r="E46">
        <v>22</v>
      </c>
      <c r="G46" t="str">
        <v>紅ほっぺ（無）</v>
      </c>
      <c r="H46">
        <v>3480</v>
      </c>
      <c r="I46">
        <v>460</v>
      </c>
      <c r="J46">
        <v>32</v>
      </c>
    </row>
    <row r="47" spans="2:10">
      <c r="B47" t="str">
        <v>紅ほっぺ</v>
      </c>
      <c r="C47">
        <v>140</v>
      </c>
      <c r="D47">
        <v>300</v>
      </c>
      <c r="E47">
        <v>1</v>
      </c>
      <c r="G47" t="str">
        <v>紅ほっぺ（無）</v>
      </c>
      <c r="H47">
        <v>850</v>
      </c>
      <c r="I47">
        <v>230</v>
      </c>
      <c r="J47">
        <v>4</v>
      </c>
    </row>
    <row r="48" spans="2:10">
      <c r="B48" t="str">
        <v>紅ほっぺ</v>
      </c>
      <c r="C48">
        <v>170</v>
      </c>
      <c r="D48">
        <v>135</v>
      </c>
      <c r="E48">
        <v>1</v>
      </c>
      <c r="G48" t="str">
        <v>紅ほっぺ（無）</v>
      </c>
      <c r="H48">
        <v>495</v>
      </c>
      <c r="I48">
        <v>125</v>
      </c>
      <c r="J48">
        <v>3</v>
      </c>
    </row>
    <row r="49" spans="2:10">
      <c r="B49" t="str">
        <v>紅ほっぺ</v>
      </c>
      <c r="C49">
        <v>600</v>
      </c>
      <c r="D49">
        <v>439</v>
      </c>
      <c r="E49">
        <v>4</v>
      </c>
      <c r="G49" t="str">
        <v>紅ほっぺ（無）</v>
      </c>
      <c r="H49">
        <v>240</v>
      </c>
      <c r="I49">
        <v>720</v>
      </c>
      <c r="J49">
        <v>2</v>
      </c>
    </row>
    <row r="50" spans="2:10">
      <c r="B50" t="str">
        <v>紅ほっぺ</v>
      </c>
      <c r="C50">
        <v>110</v>
      </c>
      <c r="D50">
        <v>250</v>
      </c>
      <c r="E50">
        <v>1</v>
      </c>
      <c r="G50" t="str">
        <v>紅ほっぺ（無）</v>
      </c>
      <c r="H50">
        <v>1240</v>
      </c>
      <c r="I50">
        <v>1532</v>
      </c>
      <c r="J50">
        <v>9</v>
      </c>
    </row>
    <row r="51" spans="2:10">
      <c r="B51" t="str">
        <v>紅ほっぺ</v>
      </c>
      <c r="C51">
        <v>1340</v>
      </c>
      <c r="D51">
        <v>740</v>
      </c>
      <c r="E51">
        <v>10</v>
      </c>
      <c r="G51" t="str">
        <v>紅ほっぺ（無）</v>
      </c>
      <c r="H51">
        <v>1835</v>
      </c>
      <c r="I51">
        <v>745</v>
      </c>
      <c r="J51">
        <v>18</v>
      </c>
    </row>
    <row r="52" spans="2:10">
      <c r="B52" t="str">
        <v>紅ほっぺ</v>
      </c>
      <c r="C52">
        <v>340</v>
      </c>
      <c r="D52">
        <v>320</v>
      </c>
      <c r="E52">
        <v>3</v>
      </c>
      <c r="G52" t="str">
        <v>紅ほっぺ（無）</v>
      </c>
      <c r="H52">
        <v>2321</v>
      </c>
      <c r="I52">
        <v>121</v>
      </c>
      <c r="J52">
        <v>1</v>
      </c>
    </row>
    <row r="53" spans="2:10">
      <c r="B53" t="str">
        <v>紅ほっぺ</v>
      </c>
      <c r="C53">
        <v>260</v>
      </c>
      <c r="D53">
        <v>530</v>
      </c>
      <c r="E53">
        <v>1</v>
      </c>
      <c r="G53" t="str">
        <v>紅ほっぺ（無）</v>
      </c>
      <c r="H53">
        <v>210</v>
      </c>
      <c r="I53">
        <v>390</v>
      </c>
      <c r="J53">
        <v>1</v>
      </c>
    </row>
    <row r="54" spans="2:10">
      <c r="B54" t="str">
        <v>紅ほっぺ</v>
      </c>
      <c r="C54">
        <v>0</v>
      </c>
      <c r="D54">
        <v>0</v>
      </c>
      <c r="E54">
        <v>0</v>
      </c>
      <c r="G54" t="str">
        <v>紅ほっぺ（無）</v>
      </c>
      <c r="H54">
        <v>140</v>
      </c>
      <c r="I54">
        <v>200</v>
      </c>
      <c r="J54">
        <v>1</v>
      </c>
    </row>
    <row r="55" spans="2:10">
      <c r="B55" t="str">
        <v>紅ほっぺ</v>
      </c>
      <c r="C55">
        <v>240</v>
      </c>
      <c r="D55">
        <v>0</v>
      </c>
      <c r="E55">
        <v>0</v>
      </c>
      <c r="G55" t="str">
        <v>紅ほっぺ（無）</v>
      </c>
      <c r="H55">
        <v>280</v>
      </c>
      <c r="I55">
        <v>160</v>
      </c>
      <c r="J55">
        <v>1</v>
      </c>
    </row>
    <row r="56" spans="2:10">
      <c r="B56" t="str">
        <v>紅ほっぺ</v>
      </c>
      <c r="C56">
        <v>0</v>
      </c>
      <c r="D56">
        <v>0</v>
      </c>
      <c r="E56">
        <v>0</v>
      </c>
      <c r="G56" t="str">
        <v>紅ほっぺ（無）</v>
      </c>
      <c r="H56">
        <v>1020</v>
      </c>
      <c r="I56">
        <v>1280</v>
      </c>
      <c r="J56">
        <v>7</v>
      </c>
    </row>
    <row r="57" spans="2:10">
      <c r="B57" t="str">
        <v>紅ほっぺ</v>
      </c>
      <c r="C57">
        <v>740</v>
      </c>
      <c r="D57">
        <v>500</v>
      </c>
      <c r="E57">
        <v>7</v>
      </c>
      <c r="G57" t="str">
        <v>紅ほっぺ（無）</v>
      </c>
      <c r="H57">
        <v>2280</v>
      </c>
      <c r="I57">
        <v>1135</v>
      </c>
      <c r="J57">
        <v>17</v>
      </c>
    </row>
    <row r="58" spans="2:10">
      <c r="B58" t="str">
        <v>紅ほっぺ</v>
      </c>
      <c r="C58">
        <v>100</v>
      </c>
      <c r="D58">
        <v>320</v>
      </c>
      <c r="E58">
        <v>1</v>
      </c>
      <c r="G58" t="str">
        <v>紅ほっぺ（無）</v>
      </c>
      <c r="H58">
        <v>1920</v>
      </c>
      <c r="I58">
        <v>1230</v>
      </c>
      <c r="J58">
        <v>13</v>
      </c>
    </row>
    <row r="59" spans="2:10">
      <c r="B59" t="str">
        <v>紅ほっぺ</v>
      </c>
      <c r="C59">
        <v>430</v>
      </c>
      <c r="D59">
        <v>830</v>
      </c>
      <c r="E59">
        <v>0</v>
      </c>
      <c r="G59" t="str">
        <v>紅ほっぺ（無）</v>
      </c>
      <c r="H59">
        <v>45</v>
      </c>
      <c r="I59">
        <v>426</v>
      </c>
      <c r="J59">
        <v>1</v>
      </c>
    </row>
    <row r="60" spans="2:10">
      <c r="B60" t="str">
        <v>紅ほっぺ</v>
      </c>
      <c r="C60">
        <v>300</v>
      </c>
      <c r="D60">
        <v>180</v>
      </c>
      <c r="E60">
        <v>2</v>
      </c>
      <c r="G60" t="str">
        <v>紅ほっぺ（無）</v>
      </c>
      <c r="H60">
        <v>167</v>
      </c>
      <c r="I60">
        <v>366</v>
      </c>
      <c r="J60">
        <v>1</v>
      </c>
    </row>
    <row r="61" spans="2:10">
      <c r="B61" t="str">
        <v>紅ほっぺ</v>
      </c>
      <c r="C61">
        <v>0</v>
      </c>
      <c r="D61">
        <v>0</v>
      </c>
      <c r="E61">
        <v>0</v>
      </c>
      <c r="G61" t="str">
        <v>紅ほっぺ（無）</v>
      </c>
      <c r="H61">
        <v>0</v>
      </c>
      <c r="I61">
        <v>0</v>
      </c>
      <c r="J61">
        <v>0</v>
      </c>
    </row>
    <row r="62" spans="2:10">
      <c r="B62" t="str">
        <v>紅ほっぺ</v>
      </c>
      <c r="C62">
        <v>0</v>
      </c>
      <c r="D62">
        <v>0</v>
      </c>
      <c r="E62">
        <v>0</v>
      </c>
      <c r="G62" t="str">
        <v>紅ほっぺ（無）</v>
      </c>
      <c r="H62">
        <v>280</v>
      </c>
      <c r="I62">
        <v>1610</v>
      </c>
      <c r="J62">
        <v>0</v>
      </c>
    </row>
    <row r="63" spans="2:10">
      <c r="B63" t="str">
        <v>紅ほっぺ</v>
      </c>
      <c r="C63">
        <v>0</v>
      </c>
      <c r="D63">
        <v>360</v>
      </c>
      <c r="E63">
        <v>0</v>
      </c>
      <c r="G63" t="str">
        <v>紅ほっぺ（無）</v>
      </c>
      <c r="H63">
        <v>5460</v>
      </c>
      <c r="I63">
        <v>500</v>
      </c>
      <c r="J63">
        <v>20</v>
      </c>
    </row>
    <row r="64" spans="2:10">
      <c r="B64" t="str">
        <v>紅ほっぺ</v>
      </c>
      <c r="C64">
        <v>0</v>
      </c>
      <c r="D64">
        <v>0</v>
      </c>
      <c r="E64">
        <v>0</v>
      </c>
      <c r="G64" t="str">
        <v>紅ほっぺ（無）</v>
      </c>
      <c r="H64">
        <v>0</v>
      </c>
      <c r="I64">
        <v>0</v>
      </c>
      <c r="J64">
        <v>0</v>
      </c>
    </row>
    <row r="65" spans="2:10">
      <c r="B65" t="str">
        <v>紅ほっぺ</v>
      </c>
      <c r="C65">
        <v>480</v>
      </c>
      <c r="D65">
        <v>620</v>
      </c>
      <c r="E65">
        <v>4</v>
      </c>
      <c r="G65" t="str">
        <v>紅ほっぺ（無）</v>
      </c>
      <c r="H65">
        <v>0</v>
      </c>
      <c r="I65">
        <v>843</v>
      </c>
      <c r="J65">
        <v>0</v>
      </c>
    </row>
    <row r="66" spans="2:10">
      <c r="B66" t="str">
        <v>紅ほっぺ</v>
      </c>
      <c r="C66">
        <v>30</v>
      </c>
      <c r="D66">
        <v>260</v>
      </c>
      <c r="E66">
        <v>0</v>
      </c>
      <c r="G66" t="str">
        <v>紅ほっぺ（無）</v>
      </c>
      <c r="H66">
        <v>0</v>
      </c>
      <c r="I66">
        <v>550</v>
      </c>
      <c r="J66">
        <v>0</v>
      </c>
    </row>
    <row r="67" spans="2:10">
      <c r="B67" t="str">
        <v>紅ほっぺ</v>
      </c>
      <c r="C67">
        <v>0</v>
      </c>
      <c r="D67">
        <v>0</v>
      </c>
      <c r="E67">
        <v>0</v>
      </c>
      <c r="G67" t="str">
        <v>紅ほっぺ（無）</v>
      </c>
      <c r="H67">
        <v>0</v>
      </c>
      <c r="I67">
        <v>0</v>
      </c>
      <c r="J67">
        <v>0</v>
      </c>
    </row>
    <row r="68" spans="2:10">
      <c r="B68" t="str">
        <v>紅ほっぺ</v>
      </c>
      <c r="C68">
        <v>540</v>
      </c>
      <c r="D68">
        <v>480</v>
      </c>
      <c r="E68">
        <v>3</v>
      </c>
      <c r="G68" t="str">
        <v>紅ほっぺ（無）</v>
      </c>
      <c r="H68">
        <v>1600</v>
      </c>
      <c r="I68">
        <v>1100</v>
      </c>
      <c r="J68">
        <v>5</v>
      </c>
    </row>
    <row r="69" spans="2:10">
      <c r="B69" t="str">
        <v>紅ほっぺ</v>
      </c>
      <c r="C69">
        <v>0</v>
      </c>
      <c r="D69">
        <v>660</v>
      </c>
      <c r="E69">
        <v>0</v>
      </c>
      <c r="G69" t="str">
        <v>紅ほっぺ（無）</v>
      </c>
      <c r="H69">
        <v>580</v>
      </c>
      <c r="I69">
        <v>1480</v>
      </c>
      <c r="J69">
        <v>10</v>
      </c>
    </row>
    <row r="70" spans="2:10">
      <c r="B70" t="str">
        <v>紅ほっぺ</v>
      </c>
      <c r="C70">
        <v>0</v>
      </c>
      <c r="D70">
        <v>0</v>
      </c>
      <c r="E70">
        <v>0</v>
      </c>
      <c r="G70" t="str">
        <v>紅ほっぺ（無）</v>
      </c>
      <c r="H70">
        <v>4620</v>
      </c>
      <c r="I70">
        <v>0</v>
      </c>
      <c r="J70">
        <v>30</v>
      </c>
    </row>
    <row r="71" spans="2:10">
      <c r="B71" t="str">
        <v>紅ほっぺ</v>
      </c>
      <c r="C71">
        <v>466</v>
      </c>
      <c r="D71">
        <v>1474</v>
      </c>
      <c r="E71">
        <v>3</v>
      </c>
      <c r="G71" t="str">
        <v>無</v>
      </c>
      <c r="H71">
        <v>0</v>
      </c>
      <c r="I71">
        <v>634</v>
      </c>
      <c r="J71">
        <v>0</v>
      </c>
    </row>
    <row r="72" spans="2:10">
      <c r="B72" t="str">
        <v>紅ほっぺ</v>
      </c>
      <c r="C72">
        <v>180</v>
      </c>
      <c r="D72">
        <v>80</v>
      </c>
      <c r="E72">
        <v>1</v>
      </c>
      <c r="G72" t="str">
        <v>無</v>
      </c>
      <c r="H72">
        <v>0</v>
      </c>
      <c r="I72">
        <v>180</v>
      </c>
      <c r="J72">
        <v>0</v>
      </c>
    </row>
    <row r="73" spans="2:10">
      <c r="B73" t="str">
        <v>紅ほっぺ</v>
      </c>
      <c r="C73">
        <v>0</v>
      </c>
      <c r="D73">
        <v>40</v>
      </c>
      <c r="E73">
        <v>0</v>
      </c>
      <c r="G73" t="str">
        <v>無</v>
      </c>
      <c r="H73">
        <v>0</v>
      </c>
      <c r="I73">
        <v>240</v>
      </c>
      <c r="J73">
        <v>0</v>
      </c>
    </row>
    <row r="74" spans="2:10">
      <c r="B74" t="str">
        <v>紅ほっぺ</v>
      </c>
      <c r="C74">
        <v>76</v>
      </c>
      <c r="D74">
        <v>104</v>
      </c>
      <c r="E74">
        <v>0</v>
      </c>
      <c r="G74" t="str">
        <v>無</v>
      </c>
      <c r="H74">
        <v>0</v>
      </c>
      <c r="I74">
        <v>630</v>
      </c>
      <c r="J74">
        <v>0</v>
      </c>
    </row>
    <row r="75" spans="2:10">
      <c r="B75" t="str">
        <v>紅ほっぺ</v>
      </c>
      <c r="C75">
        <v>0</v>
      </c>
      <c r="D75">
        <v>40</v>
      </c>
      <c r="E75">
        <v>0</v>
      </c>
      <c r="G75" t="str">
        <v>無</v>
      </c>
      <c r="H75">
        <v>400</v>
      </c>
      <c r="I75">
        <v>1240</v>
      </c>
      <c r="J75">
        <v>3</v>
      </c>
    </row>
    <row r="76" spans="2:10">
      <c r="B76" t="str">
        <v>紅ほっぺ</v>
      </c>
      <c r="C76">
        <v>0</v>
      </c>
      <c r="D76">
        <v>240</v>
      </c>
      <c r="E76">
        <v>0</v>
      </c>
      <c r="G76" t="str">
        <v>無</v>
      </c>
      <c r="H76">
        <v>2420</v>
      </c>
      <c r="I76">
        <v>4140</v>
      </c>
      <c r="J76">
        <v>17</v>
      </c>
    </row>
    <row r="77" spans="2:10">
      <c r="B77" t="str">
        <v>紅ほっぺ</v>
      </c>
      <c r="C77">
        <v>0</v>
      </c>
      <c r="D77">
        <v>120</v>
      </c>
      <c r="E77">
        <v>0</v>
      </c>
      <c r="G77" t="str">
        <v>無</v>
      </c>
      <c r="H77">
        <v>0</v>
      </c>
      <c r="I77">
        <v>165</v>
      </c>
      <c r="J77">
        <v>0</v>
      </c>
    </row>
    <row r="78" spans="2:10">
      <c r="B78" t="str">
        <v>紅ほっぺ</v>
      </c>
      <c r="C78">
        <v>0</v>
      </c>
      <c r="D78">
        <v>260</v>
      </c>
      <c r="E78">
        <v>0</v>
      </c>
      <c r="G78" t="str">
        <v>無</v>
      </c>
      <c r="H78">
        <v>270</v>
      </c>
      <c r="I78">
        <v>510</v>
      </c>
      <c r="J78">
        <v>2</v>
      </c>
    </row>
    <row r="79" spans="2:10">
      <c r="B79" t="str">
        <v>紅ほっぺ</v>
      </c>
      <c r="C79">
        <v>0</v>
      </c>
      <c r="D79">
        <v>80</v>
      </c>
      <c r="E79">
        <v>0</v>
      </c>
      <c r="G79" t="str">
        <v>無</v>
      </c>
      <c r="H79">
        <v>1700</v>
      </c>
      <c r="I79">
        <v>2540</v>
      </c>
      <c r="J79">
        <v>15</v>
      </c>
    </row>
    <row r="80" spans="2:10">
      <c r="B80" t="str">
        <v>紅ほっぺ</v>
      </c>
      <c r="C80">
        <v>100</v>
      </c>
      <c r="D80">
        <v>160</v>
      </c>
      <c r="E80">
        <v>1</v>
      </c>
      <c r="G80" t="str">
        <v>無</v>
      </c>
      <c r="H80">
        <v>0</v>
      </c>
      <c r="I80">
        <v>120</v>
      </c>
      <c r="J80">
        <v>0</v>
      </c>
    </row>
    <row r="81" spans="2:10">
      <c r="B81" t="str">
        <v>紅ほっぺ</v>
      </c>
      <c r="C81">
        <v>110</v>
      </c>
      <c r="D81">
        <v>170</v>
      </c>
      <c r="E81">
        <v>1</v>
      </c>
      <c r="G81" t="str">
        <v>無</v>
      </c>
      <c r="H81">
        <v>230</v>
      </c>
      <c r="I81">
        <v>620</v>
      </c>
      <c r="J81">
        <v>2</v>
      </c>
    </row>
    <row r="82" spans="2:10">
      <c r="B82" t="str">
        <v>紅ほっぺ</v>
      </c>
      <c r="C82">
        <v>100</v>
      </c>
      <c r="D82">
        <v>40</v>
      </c>
      <c r="E82">
        <v>1</v>
      </c>
      <c r="G82" t="str">
        <v>無</v>
      </c>
      <c r="H82">
        <v>980</v>
      </c>
      <c r="I82">
        <v>3180</v>
      </c>
      <c r="J82">
        <v>9</v>
      </c>
    </row>
    <row r="83" spans="2:10">
      <c r="B83" t="str">
        <v>紅ほっぺ</v>
      </c>
      <c r="C83">
        <v>340</v>
      </c>
      <c r="D83">
        <v>320</v>
      </c>
      <c r="E83">
        <v>3</v>
      </c>
      <c r="G83" t="str">
        <v>無</v>
      </c>
      <c r="H83">
        <v>20</v>
      </c>
      <c r="I83">
        <v>170</v>
      </c>
      <c r="J83">
        <v>0</v>
      </c>
    </row>
    <row r="84" spans="2:10">
      <c r="B84" t="str">
        <v>紅ほっぺ</v>
      </c>
      <c r="C84">
        <v>0</v>
      </c>
      <c r="D84">
        <v>260</v>
      </c>
      <c r="E84">
        <v>0</v>
      </c>
      <c r="G84" t="str">
        <v>無</v>
      </c>
      <c r="H84">
        <v>460</v>
      </c>
      <c r="I84">
        <v>240</v>
      </c>
      <c r="J84">
        <v>2</v>
      </c>
    </row>
    <row r="85" spans="2:10">
      <c r="B85" t="str">
        <v>紅ほっぺ</v>
      </c>
      <c r="C85">
        <v>0</v>
      </c>
      <c r="D85">
        <v>630</v>
      </c>
      <c r="E85">
        <v>0</v>
      </c>
      <c r="G85" t="str">
        <v>無</v>
      </c>
      <c r="H85">
        <v>530</v>
      </c>
      <c r="I85">
        <v>1110</v>
      </c>
      <c r="J85">
        <v>5</v>
      </c>
    </row>
    <row r="86" spans="2:10">
      <c r="B86" t="str">
        <v>紅ほっぺ</v>
      </c>
      <c r="C86">
        <v>310</v>
      </c>
      <c r="D86">
        <v>190</v>
      </c>
      <c r="E86">
        <v>4</v>
      </c>
      <c r="G86" t="str">
        <v>無</v>
      </c>
      <c r="H86">
        <v>590</v>
      </c>
      <c r="I86">
        <v>430</v>
      </c>
      <c r="J86">
        <v>4</v>
      </c>
    </row>
    <row r="87" spans="2:10">
      <c r="B87" t="str">
        <v>紅ほっぺ</v>
      </c>
      <c r="C87">
        <v>180</v>
      </c>
      <c r="D87">
        <v>100</v>
      </c>
      <c r="E87">
        <v>2</v>
      </c>
      <c r="G87" t="str">
        <v>無</v>
      </c>
      <c r="H87">
        <v>130</v>
      </c>
      <c r="I87">
        <v>170</v>
      </c>
      <c r="J87">
        <v>1</v>
      </c>
    </row>
    <row r="88" spans="2:10">
      <c r="B88" t="str">
        <v>紅ほっぺ</v>
      </c>
      <c r="C88">
        <v>320</v>
      </c>
      <c r="D88">
        <v>540</v>
      </c>
      <c r="E88">
        <v>15</v>
      </c>
      <c r="G88" t="str">
        <v>無</v>
      </c>
      <c r="H88">
        <v>420</v>
      </c>
      <c r="I88">
        <v>1820</v>
      </c>
      <c r="J88">
        <v>4</v>
      </c>
    </row>
    <row r="89" spans="2:10">
      <c r="B89" t="str">
        <v>紅ほっぺ</v>
      </c>
      <c r="C89">
        <v>80</v>
      </c>
      <c r="D89">
        <v>240</v>
      </c>
      <c r="E89">
        <v>0</v>
      </c>
      <c r="G89" t="str">
        <v>無</v>
      </c>
      <c r="H89">
        <v>450</v>
      </c>
      <c r="I89">
        <v>260</v>
      </c>
      <c r="J89">
        <v>4</v>
      </c>
    </row>
    <row r="90" spans="2:10">
      <c r="B90" t="str">
        <v>紅ほっぺ</v>
      </c>
      <c r="C90">
        <v>0</v>
      </c>
      <c r="D90">
        <v>30</v>
      </c>
      <c r="E90">
        <v>0</v>
      </c>
      <c r="G90" t="str">
        <v>無</v>
      </c>
      <c r="H90">
        <v>200</v>
      </c>
      <c r="I90">
        <v>0</v>
      </c>
      <c r="J90">
        <v>2</v>
      </c>
    </row>
    <row r="91" spans="2:10">
      <c r="B91" t="str">
        <v>紅ほっぺ</v>
      </c>
      <c r="C91">
        <v>780</v>
      </c>
      <c r="D91">
        <v>360</v>
      </c>
      <c r="E91">
        <v>5</v>
      </c>
      <c r="G91" t="str">
        <v>無</v>
      </c>
      <c r="H91">
        <v>240</v>
      </c>
      <c r="I91">
        <v>330</v>
      </c>
      <c r="J91">
        <v>2</v>
      </c>
    </row>
    <row r="92" spans="2:10">
      <c r="B92" t="str">
        <v>紅ほっぺ</v>
      </c>
      <c r="C92">
        <v>240</v>
      </c>
      <c r="D92">
        <v>280</v>
      </c>
      <c r="E92">
        <v>2</v>
      </c>
      <c r="G92" t="str">
        <v>無</v>
      </c>
      <c r="H92">
        <v>1150</v>
      </c>
      <c r="I92">
        <v>520</v>
      </c>
      <c r="J92">
        <v>10</v>
      </c>
    </row>
    <row r="93" spans="2:10">
      <c r="B93" t="str">
        <v>紅ほっぺ</v>
      </c>
      <c r="C93">
        <v>1210</v>
      </c>
      <c r="D93">
        <v>340</v>
      </c>
      <c r="E93">
        <v>12</v>
      </c>
      <c r="G93" t="str">
        <v>無</v>
      </c>
      <c r="H93">
        <v>790</v>
      </c>
      <c r="I93">
        <v>1690</v>
      </c>
      <c r="J93">
        <v>8</v>
      </c>
    </row>
    <row r="94" spans="2:10">
      <c r="B94" t="str">
        <v>紅ほっぺ</v>
      </c>
      <c r="C94">
        <v>0</v>
      </c>
      <c r="D94">
        <v>320</v>
      </c>
      <c r="E94">
        <v>0</v>
      </c>
      <c r="G94" t="str">
        <v>無</v>
      </c>
      <c r="H94">
        <v>590</v>
      </c>
      <c r="I94">
        <v>260</v>
      </c>
      <c r="J94">
        <v>5</v>
      </c>
    </row>
    <row r="95" spans="2:10">
      <c r="B95" t="str">
        <v>紅ほっぺ</v>
      </c>
      <c r="C95">
        <v>400</v>
      </c>
      <c r="D95">
        <v>500</v>
      </c>
      <c r="E95">
        <v>4</v>
      </c>
      <c r="G95" t="str">
        <v>無</v>
      </c>
      <c r="H95">
        <v>100</v>
      </c>
      <c r="I95">
        <v>60</v>
      </c>
      <c r="J95">
        <v>1</v>
      </c>
    </row>
    <row r="96" spans="2:10">
      <c r="B96" t="str">
        <v>紅ほっぺ</v>
      </c>
      <c r="C96">
        <v>420</v>
      </c>
      <c r="D96">
        <v>200</v>
      </c>
      <c r="E96">
        <v>4</v>
      </c>
      <c r="G96" t="str">
        <v>無</v>
      </c>
      <c r="H96">
        <v>1730</v>
      </c>
      <c r="I96">
        <v>700</v>
      </c>
      <c r="J96">
        <v>16</v>
      </c>
    </row>
    <row r="97" spans="2:10">
      <c r="B97" t="str">
        <v>紅ほっぺ</v>
      </c>
      <c r="C97">
        <v>140</v>
      </c>
      <c r="D97">
        <v>140</v>
      </c>
      <c r="E97">
        <v>1</v>
      </c>
      <c r="G97" t="str">
        <v>無</v>
      </c>
      <c r="H97">
        <v>0</v>
      </c>
      <c r="I97">
        <v>1660</v>
      </c>
      <c r="J97">
        <v>0</v>
      </c>
    </row>
    <row r="98" spans="2:10">
      <c r="B98" t="str">
        <v>紅ほっぺ</v>
      </c>
      <c r="C98">
        <v>610</v>
      </c>
      <c r="D98">
        <v>90</v>
      </c>
      <c r="E98">
        <v>6</v>
      </c>
      <c r="G98" t="str">
        <v>無</v>
      </c>
      <c r="H98">
        <v>500</v>
      </c>
      <c r="I98">
        <v>170</v>
      </c>
      <c r="J98">
        <v>5</v>
      </c>
    </row>
    <row r="99" spans="2:10">
      <c r="B99" t="str">
        <v>紅ほっぺ</v>
      </c>
      <c r="C99">
        <v>90</v>
      </c>
      <c r="D99">
        <v>170</v>
      </c>
      <c r="E99">
        <v>0</v>
      </c>
      <c r="G99" t="str">
        <v>無</v>
      </c>
      <c r="H99">
        <v>1600</v>
      </c>
      <c r="I99">
        <v>860</v>
      </c>
      <c r="J99">
        <v>15</v>
      </c>
    </row>
    <row r="100" spans="2:10">
      <c r="B100" t="str">
        <v>紅ほっぺ</v>
      </c>
      <c r="C100">
        <v>160</v>
      </c>
      <c r="D100">
        <v>260</v>
      </c>
      <c r="E100">
        <v>1</v>
      </c>
      <c r="G100" t="str">
        <v>無</v>
      </c>
      <c r="H100">
        <v>880</v>
      </c>
      <c r="I100">
        <v>670</v>
      </c>
      <c r="J100">
        <v>8</v>
      </c>
    </row>
    <row r="101" spans="2:10">
      <c r="B101" t="str">
        <v>紅ほっぺ</v>
      </c>
      <c r="C101">
        <v>300</v>
      </c>
      <c r="D101">
        <v>80</v>
      </c>
      <c r="E101">
        <v>3</v>
      </c>
      <c r="G101" t="str">
        <v>無</v>
      </c>
      <c r="H101">
        <v>100</v>
      </c>
      <c r="I101">
        <v>400</v>
      </c>
      <c r="J101">
        <v>1</v>
      </c>
    </row>
    <row r="102" spans="2:10">
      <c r="B102" t="str">
        <v>紅ほっぺ</v>
      </c>
      <c r="C102">
        <v>790</v>
      </c>
      <c r="D102">
        <v>250</v>
      </c>
      <c r="E102">
        <v>8</v>
      </c>
      <c r="G102" t="str">
        <v>無</v>
      </c>
      <c r="H102">
        <v>210</v>
      </c>
      <c r="I102">
        <v>30</v>
      </c>
      <c r="J102">
        <v>2</v>
      </c>
    </row>
    <row r="103" spans="2:10">
      <c r="B103" t="str">
        <v>紅ほっぺ</v>
      </c>
      <c r="C103">
        <v>120</v>
      </c>
      <c r="D103">
        <v>160</v>
      </c>
      <c r="E103">
        <v>1</v>
      </c>
      <c r="G103" t="str">
        <v>無</v>
      </c>
      <c r="H103">
        <v>0</v>
      </c>
      <c r="I103">
        <v>150</v>
      </c>
      <c r="J103">
        <v>0</v>
      </c>
    </row>
    <row r="104" spans="2:10">
      <c r="B104" t="str">
        <v>紅ほっぺ</v>
      </c>
      <c r="C104">
        <v>120</v>
      </c>
      <c r="D104">
        <v>0</v>
      </c>
      <c r="E104">
        <v>1</v>
      </c>
      <c r="G104" t="str">
        <v>無</v>
      </c>
      <c r="H104">
        <v>450</v>
      </c>
      <c r="I104">
        <v>140</v>
      </c>
      <c r="J104">
        <v>4</v>
      </c>
    </row>
    <row r="105" spans="2:10">
      <c r="B105" t="str">
        <v>紅ほっぺ</v>
      </c>
      <c r="C105">
        <v>470</v>
      </c>
      <c r="D105">
        <v>210</v>
      </c>
      <c r="E105">
        <v>4</v>
      </c>
      <c r="G105" t="str">
        <v>無</v>
      </c>
      <c r="H105">
        <v>470</v>
      </c>
      <c r="I105">
        <v>880</v>
      </c>
      <c r="J105">
        <v>3</v>
      </c>
    </row>
    <row r="106" spans="2:10">
      <c r="B106" t="str">
        <v>紅ほっぺ</v>
      </c>
      <c r="C106">
        <v>420</v>
      </c>
      <c r="D106">
        <v>80</v>
      </c>
      <c r="E106">
        <v>4</v>
      </c>
      <c r="G106" t="str">
        <v>無</v>
      </c>
      <c r="H106">
        <v>3060</v>
      </c>
      <c r="I106">
        <v>1580</v>
      </c>
      <c r="J106">
        <v>22</v>
      </c>
    </row>
    <row r="107" spans="2:10">
      <c r="B107" t="str">
        <v>紅ほっぺ</v>
      </c>
      <c r="C107">
        <v>1230</v>
      </c>
      <c r="D107">
        <v>230</v>
      </c>
      <c r="E107">
        <v>12</v>
      </c>
      <c r="G107" t="str">
        <v>無</v>
      </c>
      <c r="H107">
        <v>900</v>
      </c>
      <c r="I107">
        <v>870</v>
      </c>
      <c r="J107">
        <v>7</v>
      </c>
    </row>
    <row r="108" spans="2:10">
      <c r="B108" t="str">
        <v>紅ほっぺ</v>
      </c>
      <c r="C108">
        <v>450</v>
      </c>
      <c r="D108">
        <v>290</v>
      </c>
      <c r="E108">
        <v>4</v>
      </c>
      <c r="G108" t="str">
        <v>無</v>
      </c>
      <c r="H108">
        <v>360</v>
      </c>
      <c r="I108">
        <v>200</v>
      </c>
      <c r="J108">
        <v>2</v>
      </c>
    </row>
    <row r="109" spans="2:10">
      <c r="B109" t="str">
        <v>紅ほっぺ</v>
      </c>
      <c r="C109">
        <v>450</v>
      </c>
      <c r="D109">
        <v>350</v>
      </c>
      <c r="E109">
        <v>4</v>
      </c>
      <c r="G109" t="str">
        <v>無</v>
      </c>
      <c r="H109">
        <v>3000</v>
      </c>
      <c r="I109">
        <v>2000</v>
      </c>
      <c r="J109">
        <v>28</v>
      </c>
    </row>
    <row r="110" spans="2:10">
      <c r="B110" t="str">
        <v>紅ほっぺ</v>
      </c>
      <c r="C110">
        <v>0</v>
      </c>
      <c r="D110">
        <v>120</v>
      </c>
      <c r="E110">
        <v>0</v>
      </c>
      <c r="G110" t="str">
        <v>無</v>
      </c>
      <c r="H110">
        <v>4000</v>
      </c>
      <c r="I110">
        <v>1560</v>
      </c>
      <c r="J110">
        <v>38</v>
      </c>
    </row>
    <row r="111" spans="2:10">
      <c r="B111" t="str">
        <v>紅ほっぺ</v>
      </c>
      <c r="C111">
        <v>750</v>
      </c>
      <c r="D111">
        <v>450</v>
      </c>
      <c r="E111">
        <v>7</v>
      </c>
      <c r="G111" t="str">
        <v>無</v>
      </c>
      <c r="H111">
        <v>0</v>
      </c>
      <c r="I111">
        <v>1240</v>
      </c>
      <c r="J111">
        <v>0</v>
      </c>
    </row>
    <row r="112" spans="2:10">
      <c r="B112" t="str">
        <v>紅ほっぺ</v>
      </c>
      <c r="C112">
        <v>350</v>
      </c>
      <c r="D112">
        <v>270</v>
      </c>
      <c r="E112">
        <v>2</v>
      </c>
      <c r="G112" t="str">
        <v>無</v>
      </c>
      <c r="H112">
        <v>920</v>
      </c>
      <c r="I112">
        <v>840</v>
      </c>
      <c r="J112">
        <v>1</v>
      </c>
    </row>
    <row r="113" spans="2:10">
      <c r="B113" t="str">
        <v>紅ほっぺ</v>
      </c>
      <c r="C113">
        <v>2100</v>
      </c>
      <c r="D113">
        <v>480</v>
      </c>
      <c r="E113">
        <v>19</v>
      </c>
      <c r="G113" t="str">
        <v>無</v>
      </c>
      <c r="H113">
        <v>2120</v>
      </c>
      <c r="I113">
        <v>6920</v>
      </c>
      <c r="J113">
        <v>19</v>
      </c>
    </row>
    <row r="114" spans="2:10">
      <c r="B114" t="str">
        <v>紅ほっぺ</v>
      </c>
      <c r="C114">
        <v>170</v>
      </c>
      <c r="D114">
        <v>330</v>
      </c>
      <c r="E114">
        <v>2</v>
      </c>
      <c r="G114" t="str">
        <v>無</v>
      </c>
      <c r="H114">
        <v>0</v>
      </c>
      <c r="I114">
        <v>1520</v>
      </c>
      <c r="J114">
        <v>0</v>
      </c>
    </row>
    <row r="115" spans="2:10">
      <c r="B115" t="str">
        <v>紅ほっぺ</v>
      </c>
      <c r="C115">
        <v>230</v>
      </c>
      <c r="D115">
        <v>470</v>
      </c>
      <c r="E115">
        <v>2</v>
      </c>
      <c r="G115" t="str">
        <v>無</v>
      </c>
      <c r="H115">
        <v>840</v>
      </c>
      <c r="I115">
        <v>300</v>
      </c>
      <c r="J115">
        <v>6</v>
      </c>
    </row>
    <row r="116" spans="2:10">
      <c r="B116" t="str">
        <v>紅ほっぺ</v>
      </c>
      <c r="C116">
        <v>370</v>
      </c>
      <c r="D116">
        <v>570</v>
      </c>
      <c r="E116">
        <v>3</v>
      </c>
      <c r="G116" t="str">
        <v>無</v>
      </c>
      <c r="H116">
        <v>200</v>
      </c>
      <c r="I116">
        <v>420</v>
      </c>
      <c r="J116">
        <v>2</v>
      </c>
    </row>
    <row r="117" spans="2:10">
      <c r="B117" t="str">
        <v>紅ほっぺ</v>
      </c>
      <c r="C117">
        <v>260</v>
      </c>
      <c r="D117">
        <v>600</v>
      </c>
      <c r="E117">
        <v>2</v>
      </c>
      <c r="G117" t="str">
        <v>無</v>
      </c>
      <c r="H117">
        <v>2730</v>
      </c>
      <c r="I117">
        <v>4220</v>
      </c>
      <c r="J117">
        <v>14</v>
      </c>
    </row>
    <row r="118" spans="2:10">
      <c r="B118" t="str">
        <v>紅ほっぺ</v>
      </c>
      <c r="C118">
        <v>1500</v>
      </c>
      <c r="D118">
        <v>1120</v>
      </c>
      <c r="E118">
        <v>14</v>
      </c>
      <c r="G118" t="str">
        <v>無</v>
      </c>
      <c r="H118">
        <v>410</v>
      </c>
      <c r="I118">
        <v>880</v>
      </c>
      <c r="J118">
        <v>2</v>
      </c>
    </row>
    <row r="119" spans="2:10">
      <c r="B119" t="str">
        <v>紅ほっぺ</v>
      </c>
      <c r="C119">
        <v>260</v>
      </c>
      <c r="D119">
        <v>660</v>
      </c>
      <c r="E119">
        <v>2</v>
      </c>
      <c r="G119" t="str">
        <v>無</v>
      </c>
      <c r="H119">
        <v>0</v>
      </c>
      <c r="I119">
        <v>1940</v>
      </c>
      <c r="J119">
        <v>0</v>
      </c>
    </row>
    <row r="120" spans="2:10">
      <c r="B120" t="str">
        <v>紅ほっぺ</v>
      </c>
      <c r="C120">
        <v>0</v>
      </c>
      <c r="D120">
        <v>520</v>
      </c>
      <c r="E120">
        <v>0</v>
      </c>
      <c r="G120" t="str">
        <v>無</v>
      </c>
      <c r="H120">
        <v>170</v>
      </c>
      <c r="I120">
        <v>150</v>
      </c>
      <c r="J120">
        <v>0</v>
      </c>
    </row>
    <row r="121" spans="2:10">
      <c r="B121" t="str">
        <v>紅ほっぺ</v>
      </c>
      <c r="C121">
        <v>1060</v>
      </c>
      <c r="D121">
        <v>740</v>
      </c>
      <c r="E121">
        <v>10</v>
      </c>
      <c r="G121" t="str">
        <v>無</v>
      </c>
      <c r="H121">
        <v>150</v>
      </c>
      <c r="I121">
        <v>0</v>
      </c>
      <c r="J121">
        <v>1</v>
      </c>
    </row>
    <row r="122" spans="2:10">
      <c r="B122" t="str">
        <v>紅ほっぺ</v>
      </c>
      <c r="C122">
        <v>100</v>
      </c>
      <c r="D122">
        <v>340</v>
      </c>
      <c r="E122">
        <v>1</v>
      </c>
      <c r="G122" t="str">
        <v>無</v>
      </c>
      <c r="H122">
        <v>1400</v>
      </c>
      <c r="I122">
        <v>1700</v>
      </c>
      <c r="J122">
        <v>11</v>
      </c>
    </row>
    <row r="123" spans="2:10">
      <c r="B123" t="str">
        <v>紅ほっぺ</v>
      </c>
      <c r="C123">
        <v>240</v>
      </c>
      <c r="D123">
        <v>760</v>
      </c>
      <c r="E123">
        <v>2</v>
      </c>
      <c r="G123" t="str">
        <v>無</v>
      </c>
      <c r="H123">
        <v>240</v>
      </c>
      <c r="I123">
        <v>0</v>
      </c>
      <c r="J123">
        <v>2</v>
      </c>
    </row>
    <row r="124" spans="2:10">
      <c r="B124" t="str">
        <v>紅ほっぺ</v>
      </c>
      <c r="C124">
        <v>120</v>
      </c>
      <c r="D124">
        <v>500</v>
      </c>
      <c r="E124">
        <v>1</v>
      </c>
      <c r="G124" t="str">
        <v>無</v>
      </c>
      <c r="H124">
        <v>300</v>
      </c>
      <c r="I124">
        <v>0</v>
      </c>
      <c r="J124">
        <v>0</v>
      </c>
    </row>
    <row r="125" spans="2:10">
      <c r="B125" t="str">
        <v>紅ほっぺ</v>
      </c>
      <c r="C125">
        <v>830</v>
      </c>
      <c r="D125">
        <v>470</v>
      </c>
      <c r="E125">
        <v>4</v>
      </c>
      <c r="G125" t="str">
        <v>無</v>
      </c>
      <c r="H125">
        <v>100</v>
      </c>
      <c r="I125">
        <v>0</v>
      </c>
      <c r="J125">
        <v>0</v>
      </c>
    </row>
    <row r="126" spans="2:10">
      <c r="B126" t="str">
        <v>紅ほっぺ</v>
      </c>
      <c r="C126">
        <v>210</v>
      </c>
      <c r="D126">
        <v>310</v>
      </c>
      <c r="E126">
        <v>2</v>
      </c>
      <c r="G126" t="str">
        <v>無</v>
      </c>
      <c r="H126">
        <v>6240</v>
      </c>
      <c r="I126">
        <v>0</v>
      </c>
      <c r="J126">
        <v>0</v>
      </c>
    </row>
    <row r="127" spans="2:10">
      <c r="B127" t="str">
        <v>紅ほっぺ</v>
      </c>
      <c r="C127">
        <v>900</v>
      </c>
      <c r="D127">
        <v>600</v>
      </c>
      <c r="E127">
        <v>0</v>
      </c>
      <c r="G127" t="str">
        <v>無</v>
      </c>
      <c r="H127">
        <v>880</v>
      </c>
      <c r="I127">
        <v>0</v>
      </c>
      <c r="J127">
        <v>0</v>
      </c>
    </row>
    <row r="128" spans="2:10">
      <c r="B128" t="str">
        <v>紅ほっぺ</v>
      </c>
      <c r="C128">
        <v>40</v>
      </c>
      <c r="D128">
        <v>350</v>
      </c>
      <c r="E128">
        <v>0</v>
      </c>
      <c r="G128" t="str">
        <v>無</v>
      </c>
      <c r="H128">
        <v>880</v>
      </c>
      <c r="I128">
        <v>0</v>
      </c>
      <c r="J128">
        <v>0</v>
      </c>
    </row>
    <row r="129" spans="2:10">
      <c r="B129" t="str">
        <v>紅ほっぺ</v>
      </c>
      <c r="C129">
        <v>140</v>
      </c>
      <c r="D129">
        <v>520</v>
      </c>
      <c r="E129">
        <v>1</v>
      </c>
      <c r="G129" t="str">
        <v>無</v>
      </c>
      <c r="H129">
        <v>3360</v>
      </c>
      <c r="I129">
        <v>0</v>
      </c>
      <c r="J129">
        <v>0</v>
      </c>
    </row>
    <row r="130" spans="2:10">
      <c r="B130" t="str">
        <v>紅ほっぺ</v>
      </c>
      <c r="C130">
        <v>500</v>
      </c>
      <c r="D130">
        <v>0</v>
      </c>
      <c r="E130">
        <v>15</v>
      </c>
    </row>
    <row r="131" spans="2:10">
      <c r="B131" t="str">
        <v>紅ほっぺ</v>
      </c>
      <c r="C131">
        <v>1120</v>
      </c>
      <c r="D131">
        <v>0</v>
      </c>
      <c r="E131">
        <v>0</v>
      </c>
    </row>
    <row r="132" spans="2:10">
      <c r="B132" t="str">
        <v>紅ほっぺ</v>
      </c>
      <c r="C132">
        <v>1140</v>
      </c>
      <c r="D132">
        <v>0</v>
      </c>
      <c r="E132">
        <v>0</v>
      </c>
    </row>
    <row r="133" spans="2:10">
      <c r="B133" t="str">
        <v>紅ほっぺ</v>
      </c>
      <c r="C133">
        <v>1400</v>
      </c>
      <c r="D133">
        <v>0</v>
      </c>
      <c r="E133">
        <v>0</v>
      </c>
    </row>
    <row r="134" spans="2:10">
      <c r="B134" t="str">
        <v>紅ほっぺ</v>
      </c>
      <c r="C134">
        <v>300</v>
      </c>
      <c r="D134">
        <v>0</v>
      </c>
      <c r="E134">
        <v>0</v>
      </c>
    </row>
    <row r="135" spans="2:10">
      <c r="B135" t="str">
        <v>紅ほっぺ</v>
      </c>
      <c r="C135">
        <v>500</v>
      </c>
      <c r="D135">
        <v>0</v>
      </c>
      <c r="E135">
        <v>0</v>
      </c>
    </row>
    <row r="136" spans="2:10">
      <c r="B136" t="str">
        <v>紅ほっぺ</v>
      </c>
      <c r="C136">
        <v>320</v>
      </c>
      <c r="D136">
        <v>0</v>
      </c>
      <c r="E136">
        <v>4</v>
      </c>
    </row>
    <row r="137" spans="2:10">
      <c r="B137" t="str">
        <v>紅ほっぺ</v>
      </c>
      <c r="C137">
        <v>1200</v>
      </c>
      <c r="D137">
        <v>0</v>
      </c>
      <c r="E137">
        <v>0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9560-A029-4CF9-922E-26803C235970}">
  <dimension ref="A1:M118"/>
  <sheetViews>
    <sheetView zoomScale="72" workbookViewId="0">
      <selection activeCell="G112" sqref="B105:G112"/>
    </sheetView>
  </sheetViews>
  <sheetFormatPr defaultRowHeight="18"/>
  <cols>
    <col min="3" max="3" width="10.75" bestFit="1" customWidth="1"/>
    <col min="4" max="5" width="14.75" bestFit="1" customWidth="1"/>
    <col min="6" max="6" width="9.83203125" bestFit="1" customWidth="1"/>
    <col min="7" max="7" width="16.5" bestFit="1" customWidth="1"/>
    <col min="8" max="8" width="12.58203125" bestFit="1" customWidth="1"/>
    <col min="9" max="9" width="11.08203125" bestFit="1" customWidth="1"/>
    <col min="10" max="10" width="32.25" customWidth="1"/>
    <col min="11" max="12" width="15.1640625" bestFit="1" customWidth="1"/>
    <col min="13" max="13" width="19.75" bestFit="1" customWidth="1"/>
  </cols>
  <sheetData>
    <row r="1" spans="1:13">
      <c r="A1" t="s">
        <v>78</v>
      </c>
    </row>
    <row r="3" spans="1:13">
      <c r="F3" s="20"/>
      <c r="G3" s="20"/>
      <c r="J3" t="s">
        <v>88</v>
      </c>
    </row>
    <row r="4" spans="1:13">
      <c r="B4" t="s">
        <v>79</v>
      </c>
      <c r="C4" s="5" t="s">
        <v>5</v>
      </c>
      <c r="D4" s="5" t="s">
        <v>127</v>
      </c>
      <c r="E4" s="5" t="s">
        <v>7</v>
      </c>
      <c r="F4" s="21" t="s">
        <v>8</v>
      </c>
      <c r="G4" s="5" t="s">
        <v>128</v>
      </c>
      <c r="H4" s="5" t="s">
        <v>50</v>
      </c>
      <c r="I4" s="5" t="s">
        <v>60</v>
      </c>
      <c r="J4" s="5" t="s">
        <v>129</v>
      </c>
      <c r="K4" s="5" t="s">
        <v>62</v>
      </c>
      <c r="L4" t="s">
        <v>61</v>
      </c>
      <c r="M4" t="s">
        <v>151</v>
      </c>
    </row>
    <row r="5" spans="1:13">
      <c r="C5" t="s">
        <v>21</v>
      </c>
      <c r="D5" s="25">
        <f>月収!B2</f>
        <v>240</v>
      </c>
      <c r="E5" s="25">
        <f>月収!C2</f>
        <v>0</v>
      </c>
      <c r="F5" s="25">
        <f>月収!D2</f>
        <v>3</v>
      </c>
      <c r="G5" s="25">
        <f>SUM(D5:E5)</f>
        <v>240</v>
      </c>
      <c r="H5" s="25">
        <v>360</v>
      </c>
      <c r="I5" s="25">
        <v>16.8</v>
      </c>
      <c r="J5" s="25">
        <f>G5/ H5</f>
        <v>0.66666666666666663</v>
      </c>
      <c r="K5" s="25">
        <f>D5/G5</f>
        <v>1</v>
      </c>
      <c r="L5" s="25">
        <f>E5/G5</f>
        <v>0</v>
      </c>
      <c r="M5" s="25">
        <f>G5/I5*100/1000</f>
        <v>1.4285714285714284</v>
      </c>
    </row>
    <row r="6" spans="1:13">
      <c r="C6" t="s">
        <v>23</v>
      </c>
      <c r="D6" s="25">
        <v>0</v>
      </c>
      <c r="E6" s="25">
        <v>0</v>
      </c>
      <c r="F6" s="25">
        <v>0</v>
      </c>
      <c r="G6" s="25">
        <f t="shared" ref="G6:G8" si="0">SUM(D6:E6)</f>
        <v>0</v>
      </c>
      <c r="H6" s="25">
        <v>360</v>
      </c>
      <c r="I6" s="25">
        <v>17</v>
      </c>
      <c r="J6" s="25">
        <f t="shared" ref="J6:J8" si="1">G6/ H6</f>
        <v>0</v>
      </c>
      <c r="K6" s="25" t="e">
        <f t="shared" ref="K6:K8" si="2">D6/G6</f>
        <v>#DIV/0!</v>
      </c>
      <c r="L6" s="25" t="e">
        <f t="shared" ref="L6:L8" si="3">E6/G6</f>
        <v>#DIV/0!</v>
      </c>
      <c r="M6" s="25">
        <f t="shared" ref="M6:M8" si="4">G6/I6*100/1000</f>
        <v>0</v>
      </c>
    </row>
    <row r="7" spans="1:13">
      <c r="C7" t="s">
        <v>40</v>
      </c>
      <c r="D7" s="25">
        <v>0</v>
      </c>
      <c r="E7" s="25">
        <v>0</v>
      </c>
      <c r="F7" s="25">
        <v>0</v>
      </c>
      <c r="G7" s="25">
        <f t="shared" si="0"/>
        <v>0</v>
      </c>
      <c r="H7" s="25">
        <v>700</v>
      </c>
      <c r="I7" s="25">
        <v>34</v>
      </c>
      <c r="J7" s="25">
        <f t="shared" si="1"/>
        <v>0</v>
      </c>
      <c r="K7" s="25" t="e">
        <f t="shared" si="2"/>
        <v>#DIV/0!</v>
      </c>
      <c r="L7" s="25" t="e">
        <f t="shared" si="3"/>
        <v>#DIV/0!</v>
      </c>
      <c r="M7" s="25">
        <f t="shared" si="4"/>
        <v>0</v>
      </c>
    </row>
    <row r="8" spans="1:13">
      <c r="C8" t="s">
        <v>25</v>
      </c>
      <c r="D8" s="25">
        <f>SUM(月収!B3:B10)</f>
        <v>1541</v>
      </c>
      <c r="E8" s="25">
        <f>SUM(月収!C3:C10)</f>
        <v>0</v>
      </c>
      <c r="F8" s="25">
        <f>SUM(月収!D3:D10)</f>
        <v>3</v>
      </c>
      <c r="G8" s="25">
        <f t="shared" si="0"/>
        <v>1541</v>
      </c>
      <c r="H8" s="25">
        <f>H9-(H5+H6+H7)</f>
        <v>1830</v>
      </c>
      <c r="I8" s="25">
        <f>202-I5-I6-I7</f>
        <v>134.19999999999999</v>
      </c>
      <c r="J8" s="25">
        <f t="shared" si="1"/>
        <v>0.84207650273224044</v>
      </c>
      <c r="K8" s="25">
        <f t="shared" si="2"/>
        <v>1</v>
      </c>
      <c r="L8" s="25">
        <f t="shared" si="3"/>
        <v>0</v>
      </c>
      <c r="M8" s="25">
        <f t="shared" si="4"/>
        <v>1.1482861400894189</v>
      </c>
    </row>
    <row r="9" spans="1:13">
      <c r="C9" s="34" t="s">
        <v>56</v>
      </c>
      <c r="D9" s="35">
        <f>SUM(D5:D8)</f>
        <v>1781</v>
      </c>
      <c r="E9" s="35">
        <f t="shared" ref="E9:G9" si="5">SUM(E5:E8)</f>
        <v>0</v>
      </c>
      <c r="F9" s="35">
        <f t="shared" si="5"/>
        <v>6</v>
      </c>
      <c r="G9" s="35">
        <f t="shared" si="5"/>
        <v>1781</v>
      </c>
      <c r="H9" s="35">
        <v>3250</v>
      </c>
      <c r="I9" s="35">
        <f>SUM(I5:I8)</f>
        <v>202</v>
      </c>
      <c r="J9" s="35"/>
      <c r="K9" s="35"/>
      <c r="L9" s="35"/>
      <c r="M9" s="35">
        <f>SUM(M5:M8)</f>
        <v>2.5768575686608473</v>
      </c>
    </row>
    <row r="10" spans="1:13">
      <c r="B10" t="s">
        <v>91</v>
      </c>
      <c r="C10" s="34" t="s">
        <v>57</v>
      </c>
      <c r="D10" s="35">
        <f>AVERAGE(D5:D8)</f>
        <v>445.25</v>
      </c>
      <c r="E10" s="35">
        <f t="shared" ref="E10:L10" si="6">AVERAGE(E5:E8)</f>
        <v>0</v>
      </c>
      <c r="F10" s="35">
        <f t="shared" si="6"/>
        <v>1.5</v>
      </c>
      <c r="G10" s="35">
        <f t="shared" si="6"/>
        <v>445.25</v>
      </c>
      <c r="H10" s="35">
        <f>AVERAGE(H5:H8)</f>
        <v>812.5</v>
      </c>
      <c r="I10" s="35">
        <f t="shared" si="6"/>
        <v>50.5</v>
      </c>
      <c r="J10" s="35">
        <f t="shared" si="6"/>
        <v>0.37718579234972677</v>
      </c>
      <c r="K10" s="35" t="e">
        <f t="shared" si="6"/>
        <v>#DIV/0!</v>
      </c>
      <c r="L10" s="35" t="e">
        <f t="shared" si="6"/>
        <v>#DIV/0!</v>
      </c>
      <c r="M10" s="35">
        <f>AVERAGE(M5:M9)</f>
        <v>1.030743027464339</v>
      </c>
    </row>
    <row r="11" spans="1:13">
      <c r="C11" s="34" t="s">
        <v>59</v>
      </c>
      <c r="D11" s="35">
        <f t="shared" ref="D11:M11" si="7">MEDIAN(D5:D8)</f>
        <v>120</v>
      </c>
      <c r="E11" s="35">
        <f t="shared" si="7"/>
        <v>0</v>
      </c>
      <c r="F11" s="35">
        <f t="shared" si="7"/>
        <v>1.5</v>
      </c>
      <c r="G11" s="35">
        <f t="shared" si="7"/>
        <v>120</v>
      </c>
      <c r="H11" s="35">
        <f t="shared" si="7"/>
        <v>530</v>
      </c>
      <c r="I11" s="35">
        <f t="shared" si="7"/>
        <v>25.5</v>
      </c>
      <c r="J11" s="35">
        <f t="shared" si="7"/>
        <v>0.33333333333333331</v>
      </c>
      <c r="K11" s="35" t="e">
        <f t="shared" si="7"/>
        <v>#DIV/0!</v>
      </c>
      <c r="L11" s="35" t="e">
        <f t="shared" si="7"/>
        <v>#DIV/0!</v>
      </c>
      <c r="M11" s="35">
        <f t="shared" si="7"/>
        <v>0.57414307004470944</v>
      </c>
    </row>
    <row r="12" spans="1:13">
      <c r="B12" t="s">
        <v>87</v>
      </c>
      <c r="C12" s="15" t="s">
        <v>21</v>
      </c>
      <c r="D12" s="33">
        <f t="shared" ref="D12:M12" si="8">D5-D10</f>
        <v>-205.25</v>
      </c>
      <c r="E12" s="33">
        <f t="shared" si="8"/>
        <v>0</v>
      </c>
      <c r="F12" s="33">
        <f t="shared" si="8"/>
        <v>1.5</v>
      </c>
      <c r="G12" s="33">
        <f t="shared" si="8"/>
        <v>-205.25</v>
      </c>
      <c r="H12" s="33">
        <f t="shared" si="8"/>
        <v>-452.5</v>
      </c>
      <c r="I12" s="33">
        <f t="shared" si="8"/>
        <v>-33.700000000000003</v>
      </c>
      <c r="J12" s="33">
        <f t="shared" si="8"/>
        <v>0.28948087431693986</v>
      </c>
      <c r="K12" s="33" t="e">
        <f t="shared" si="8"/>
        <v>#DIV/0!</v>
      </c>
      <c r="L12" s="33" t="e">
        <f t="shared" si="8"/>
        <v>#DIV/0!</v>
      </c>
      <c r="M12" s="33">
        <f t="shared" si="8"/>
        <v>0.39782840110708939</v>
      </c>
    </row>
    <row r="13" spans="1:13">
      <c r="C13" s="15" t="s">
        <v>23</v>
      </c>
      <c r="D13" s="33">
        <f t="shared" ref="D13:M13" si="9">D6-D11</f>
        <v>-120</v>
      </c>
      <c r="E13" s="33">
        <f t="shared" si="9"/>
        <v>0</v>
      </c>
      <c r="F13" s="33">
        <f t="shared" si="9"/>
        <v>-1.5</v>
      </c>
      <c r="G13" s="33">
        <f t="shared" si="9"/>
        <v>-120</v>
      </c>
      <c r="H13" s="33">
        <f t="shared" si="9"/>
        <v>-170</v>
      </c>
      <c r="I13" s="33">
        <f t="shared" si="9"/>
        <v>-8.5</v>
      </c>
      <c r="J13" s="33">
        <f t="shared" si="9"/>
        <v>-0.33333333333333331</v>
      </c>
      <c r="K13" s="33" t="e">
        <f t="shared" si="9"/>
        <v>#DIV/0!</v>
      </c>
      <c r="L13" s="33" t="e">
        <f t="shared" si="9"/>
        <v>#DIV/0!</v>
      </c>
      <c r="M13" s="33">
        <f t="shared" si="9"/>
        <v>-0.57414307004470944</v>
      </c>
    </row>
    <row r="14" spans="1:13">
      <c r="C14" s="15" t="s">
        <v>40</v>
      </c>
      <c r="D14" s="33">
        <f t="shared" ref="D14:M14" si="10">D7-D12</f>
        <v>205.25</v>
      </c>
      <c r="E14" s="33">
        <f t="shared" si="10"/>
        <v>0</v>
      </c>
      <c r="F14" s="33">
        <f t="shared" si="10"/>
        <v>-1.5</v>
      </c>
      <c r="G14" s="33">
        <f t="shared" si="10"/>
        <v>205.25</v>
      </c>
      <c r="H14" s="33">
        <f t="shared" si="10"/>
        <v>1152.5</v>
      </c>
      <c r="I14" s="33">
        <f t="shared" si="10"/>
        <v>67.7</v>
      </c>
      <c r="J14" s="33">
        <f t="shared" si="10"/>
        <v>-0.28948087431693986</v>
      </c>
      <c r="K14" s="33" t="e">
        <f t="shared" si="10"/>
        <v>#DIV/0!</v>
      </c>
      <c r="L14" s="33" t="e">
        <f t="shared" si="10"/>
        <v>#DIV/0!</v>
      </c>
      <c r="M14" s="33">
        <f t="shared" si="10"/>
        <v>-0.39782840110708939</v>
      </c>
    </row>
    <row r="15" spans="1:13">
      <c r="C15" s="15" t="s">
        <v>25</v>
      </c>
      <c r="D15" s="33">
        <f t="shared" ref="D15:M15" si="11">D8-D13</f>
        <v>1661</v>
      </c>
      <c r="E15" s="33">
        <f t="shared" si="11"/>
        <v>0</v>
      </c>
      <c r="F15" s="33">
        <f t="shared" si="11"/>
        <v>4.5</v>
      </c>
      <c r="G15" s="33">
        <f t="shared" si="11"/>
        <v>1661</v>
      </c>
      <c r="H15" s="33">
        <f t="shared" si="11"/>
        <v>2000</v>
      </c>
      <c r="I15" s="33">
        <f t="shared" si="11"/>
        <v>142.69999999999999</v>
      </c>
      <c r="J15" s="33">
        <f t="shared" si="11"/>
        <v>1.1754098360655738</v>
      </c>
      <c r="K15" s="33" t="e">
        <f t="shared" si="11"/>
        <v>#DIV/0!</v>
      </c>
      <c r="L15" s="33" t="e">
        <f t="shared" si="11"/>
        <v>#DIV/0!</v>
      </c>
      <c r="M15" s="33">
        <f t="shared" si="11"/>
        <v>1.7224292101341283</v>
      </c>
    </row>
    <row r="16" spans="1:13">
      <c r="C16" s="15" t="s">
        <v>89</v>
      </c>
      <c r="D16" s="33" cm="1">
        <f t="array" ref="D16">SUM(D12:D15*D12:D15)/COUNT(D12:D15)</f>
        <v>714394.03125</v>
      </c>
      <c r="E16" s="33" cm="1">
        <f t="array" ref="E16">SUM(E12:E15*E12:E15)/COUNT(E12:E15)</f>
        <v>0</v>
      </c>
      <c r="F16" s="33" cm="1">
        <f t="array" ref="F16">SUM(F12:F15*F12:F15)/COUNT(F12:F15)</f>
        <v>6.75</v>
      </c>
      <c r="G16" s="33" cm="1">
        <f t="array" ref="G16">SUM(G12:G15*G12:G15)/COUNT(G12:G15)</f>
        <v>714394.03125</v>
      </c>
      <c r="H16" s="33" cm="1">
        <f t="array" ref="H16">SUM(H12:H15*H12:H15)/COUNT(H12:H15)</f>
        <v>1390478.125</v>
      </c>
      <c r="I16" s="33" cm="1">
        <f t="array" ref="I16">SUM(I12:I15*I12:I15)/COUNT(I12:I15)</f>
        <v>6538.6299999999992</v>
      </c>
      <c r="J16" s="33" cm="1">
        <f t="array" ref="J16">SUM(J12:J15*J12:J15)/COUNT(J12:J15)</f>
        <v>0.41507443675535249</v>
      </c>
      <c r="K16" s="33" t="e" cm="1">
        <f t="array" ref="K16">SUM(K12:K15*K12:K15)/COUNT(K12:K15)</f>
        <v>#DIV/0!</v>
      </c>
      <c r="L16" s="33" t="e" cm="1">
        <f t="array" ref="L16">SUM(L12:L15*L12:L15)/COUNT(L12:L15)</f>
        <v>#DIV/0!</v>
      </c>
      <c r="M16" s="33" cm="1">
        <f t="array" ref="M16">SUM(M12:M15*M12:M15)/COUNT(M12:M15)</f>
        <v>0.90323438056462191</v>
      </c>
    </row>
    <row r="17" spans="2:13">
      <c r="C17" s="15" t="s">
        <v>58</v>
      </c>
      <c r="D17" s="33">
        <f>SQRT(D16)</f>
        <v>845.21833347958091</v>
      </c>
      <c r="E17" s="33">
        <f t="shared" ref="E17:M17" si="12">SQRT(E16)</f>
        <v>0</v>
      </c>
      <c r="F17" s="33">
        <f t="shared" si="12"/>
        <v>2.598076211353316</v>
      </c>
      <c r="G17" s="33">
        <f t="shared" si="12"/>
        <v>845.21833347958091</v>
      </c>
      <c r="H17" s="33">
        <f t="shared" si="12"/>
        <v>1179.1853649872016</v>
      </c>
      <c r="I17" s="33">
        <f t="shared" si="12"/>
        <v>80.861795676326651</v>
      </c>
      <c r="J17" s="33">
        <f t="shared" si="12"/>
        <v>0.64426270787261353</v>
      </c>
      <c r="K17" s="33" t="e">
        <f t="shared" si="12"/>
        <v>#DIV/0!</v>
      </c>
      <c r="L17" s="33" t="e">
        <f t="shared" si="12"/>
        <v>#DIV/0!</v>
      </c>
      <c r="M17" s="33">
        <f t="shared" si="12"/>
        <v>0.95038643748983598</v>
      </c>
    </row>
    <row r="18" spans="2:13"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spans="2:13">
      <c r="D19" s="25"/>
      <c r="E19" s="25"/>
      <c r="F19" s="27"/>
      <c r="G19" s="27"/>
      <c r="H19" s="25"/>
      <c r="I19" s="25"/>
      <c r="J19" s="25" t="s">
        <v>88</v>
      </c>
      <c r="K19" s="25"/>
      <c r="L19" s="25"/>
      <c r="M19" s="25"/>
    </row>
    <row r="20" spans="2:13">
      <c r="B20" t="s">
        <v>80</v>
      </c>
      <c r="C20" s="5" t="s">
        <v>5</v>
      </c>
      <c r="D20" s="28" t="s">
        <v>127</v>
      </c>
      <c r="E20" s="28" t="s">
        <v>7</v>
      </c>
      <c r="F20" s="29" t="s">
        <v>8</v>
      </c>
      <c r="G20" s="28" t="s">
        <v>128</v>
      </c>
      <c r="H20" s="28" t="s">
        <v>50</v>
      </c>
      <c r="I20" s="28" t="s">
        <v>60</v>
      </c>
      <c r="J20" s="28" t="s">
        <v>129</v>
      </c>
      <c r="K20" s="28" t="s">
        <v>62</v>
      </c>
      <c r="L20" s="25" t="s">
        <v>61</v>
      </c>
      <c r="M20" s="25" t="s">
        <v>151</v>
      </c>
    </row>
    <row r="21" spans="2:13">
      <c r="C21" t="s">
        <v>21</v>
      </c>
      <c r="D21" s="25">
        <f>SUM(月収!B61:B69)</f>
        <v>13570</v>
      </c>
      <c r="E21" s="25">
        <f>SUM(月収!C61:C69)</f>
        <v>500</v>
      </c>
      <c r="F21" s="25">
        <f>SUM(月収!D61:D69)</f>
        <v>90</v>
      </c>
      <c r="G21" s="25">
        <f>SUM(D21:E21)</f>
        <v>14070</v>
      </c>
      <c r="H21" s="25">
        <v>360</v>
      </c>
      <c r="I21" s="25">
        <v>16.8</v>
      </c>
      <c r="J21" s="25">
        <f>G21/ H21</f>
        <v>39.083333333333336</v>
      </c>
      <c r="K21" s="25">
        <f>D21/G21</f>
        <v>0.96446339729921815</v>
      </c>
      <c r="L21" s="25">
        <f>E21/G21</f>
        <v>3.5536602700781808E-2</v>
      </c>
      <c r="M21" s="25">
        <f>G21/I21*100/1000</f>
        <v>83.75</v>
      </c>
    </row>
    <row r="22" spans="2:13">
      <c r="C22" t="s">
        <v>23</v>
      </c>
      <c r="D22" s="25">
        <f>SUM(月収!B53:B59)</f>
        <v>2406</v>
      </c>
      <c r="E22" s="25">
        <f>SUM(月収!C53:C59)</f>
        <v>760</v>
      </c>
      <c r="F22" s="25">
        <f>SUM(月収!D53:D59)</f>
        <v>12</v>
      </c>
      <c r="G22" s="25">
        <f t="shared" ref="G22:G24" si="13">SUM(D22:E22)</f>
        <v>3166</v>
      </c>
      <c r="H22" s="25">
        <v>360</v>
      </c>
      <c r="I22" s="25">
        <v>17</v>
      </c>
      <c r="J22" s="25">
        <f t="shared" ref="J22:J24" si="14">G22/ H22</f>
        <v>8.7944444444444443</v>
      </c>
      <c r="K22" s="25">
        <f t="shared" ref="K22:K24" si="15">D22/G22</f>
        <v>0.75994946304485156</v>
      </c>
      <c r="L22" s="25">
        <f t="shared" ref="L22:L24" si="16">E22/G22</f>
        <v>0.24005053695514844</v>
      </c>
      <c r="M22" s="25">
        <f t="shared" ref="M22:M24" si="17">G22/I22*100/1000</f>
        <v>18.623529411764707</v>
      </c>
    </row>
    <row r="23" spans="2:13">
      <c r="C23" t="s">
        <v>40</v>
      </c>
      <c r="D23" s="25">
        <v>0</v>
      </c>
      <c r="E23" s="25">
        <v>0</v>
      </c>
      <c r="F23" s="25">
        <v>0</v>
      </c>
      <c r="G23" s="25">
        <f t="shared" si="13"/>
        <v>0</v>
      </c>
      <c r="H23" s="25">
        <v>700</v>
      </c>
      <c r="I23" s="25">
        <v>34</v>
      </c>
      <c r="J23" s="25">
        <f t="shared" si="14"/>
        <v>0</v>
      </c>
      <c r="K23" s="25" t="e">
        <f>D40/G23</f>
        <v>#DIV/0!</v>
      </c>
      <c r="L23" s="25" t="e">
        <f t="shared" si="16"/>
        <v>#DIV/0!</v>
      </c>
      <c r="M23" s="25">
        <f t="shared" si="17"/>
        <v>0</v>
      </c>
    </row>
    <row r="24" spans="2:13">
      <c r="C24" t="s">
        <v>25</v>
      </c>
      <c r="D24" s="25">
        <f>SUM(月収!B40:B49)</f>
        <v>2020</v>
      </c>
      <c r="E24" s="25">
        <f>SUM(月収!C40:C49)</f>
        <v>0</v>
      </c>
      <c r="F24" s="25">
        <f>SUM(月収!D40:D49)</f>
        <v>3</v>
      </c>
      <c r="G24" s="25">
        <f t="shared" si="13"/>
        <v>2020</v>
      </c>
      <c r="H24" s="25">
        <f>H25-(H21+H22+H23)</f>
        <v>1830</v>
      </c>
      <c r="I24" s="25">
        <f>202-I21-I22-I23</f>
        <v>134.19999999999999</v>
      </c>
      <c r="J24" s="25">
        <f t="shared" si="14"/>
        <v>1.1038251366120218</v>
      </c>
      <c r="K24" s="25">
        <f t="shared" si="15"/>
        <v>1</v>
      </c>
      <c r="L24" s="25">
        <f t="shared" si="16"/>
        <v>0</v>
      </c>
      <c r="M24" s="25">
        <f t="shared" si="17"/>
        <v>1.50521609538003</v>
      </c>
    </row>
    <row r="25" spans="2:13">
      <c r="C25" s="34" t="s">
        <v>56</v>
      </c>
      <c r="D25" s="35">
        <f>SUM(D21:D24)</f>
        <v>17996</v>
      </c>
      <c r="E25" s="35">
        <f t="shared" ref="E25:G25" si="18">SUM(E21:E24)</f>
        <v>1260</v>
      </c>
      <c r="F25" s="35">
        <f t="shared" si="18"/>
        <v>105</v>
      </c>
      <c r="G25" s="35">
        <f t="shared" si="18"/>
        <v>19256</v>
      </c>
      <c r="H25" s="35">
        <v>3250</v>
      </c>
      <c r="I25" s="35">
        <f>SUM(I21:I24)</f>
        <v>202</v>
      </c>
      <c r="J25" s="35"/>
      <c r="K25" s="35"/>
      <c r="L25" s="35"/>
      <c r="M25" s="35">
        <f>SUM(M21:M24)</f>
        <v>103.87874550714474</v>
      </c>
    </row>
    <row r="26" spans="2:13">
      <c r="C26" s="34" t="s">
        <v>57</v>
      </c>
      <c r="D26" s="35">
        <f>AVERAGE(D21:D24)</f>
        <v>4499</v>
      </c>
      <c r="E26" s="35">
        <f t="shared" ref="E26:M26" si="19">AVERAGE(E21:E24)</f>
        <v>315</v>
      </c>
      <c r="F26" s="35">
        <f t="shared" si="19"/>
        <v>26.25</v>
      </c>
      <c r="G26" s="35">
        <f t="shared" si="19"/>
        <v>4814</v>
      </c>
      <c r="H26" s="35">
        <f t="shared" si="19"/>
        <v>812.5</v>
      </c>
      <c r="I26" s="35">
        <f t="shared" si="19"/>
        <v>50.5</v>
      </c>
      <c r="J26" s="35">
        <f t="shared" si="19"/>
        <v>12.245400728597451</v>
      </c>
      <c r="K26" s="35" t="e">
        <f t="shared" si="19"/>
        <v>#DIV/0!</v>
      </c>
      <c r="L26" s="35" t="e">
        <f t="shared" si="19"/>
        <v>#DIV/0!</v>
      </c>
      <c r="M26" s="35">
        <f t="shared" si="19"/>
        <v>25.969686376786186</v>
      </c>
    </row>
    <row r="27" spans="2:13">
      <c r="C27" s="34" t="s">
        <v>59</v>
      </c>
      <c r="D27" s="35">
        <f>MEDIAN(D21:D24)</f>
        <v>2213</v>
      </c>
      <c r="E27" s="35">
        <f t="shared" ref="E27:M27" si="20">MEDIAN(E21:E24)</f>
        <v>250</v>
      </c>
      <c r="F27" s="35">
        <f t="shared" si="20"/>
        <v>7.5</v>
      </c>
      <c r="G27" s="35">
        <f t="shared" si="20"/>
        <v>2593</v>
      </c>
      <c r="H27" s="35">
        <f t="shared" si="20"/>
        <v>530</v>
      </c>
      <c r="I27" s="35">
        <f t="shared" si="20"/>
        <v>25.5</v>
      </c>
      <c r="J27" s="35">
        <f t="shared" si="20"/>
        <v>4.949134790528233</v>
      </c>
      <c r="K27" s="35" t="e">
        <f t="shared" si="20"/>
        <v>#DIV/0!</v>
      </c>
      <c r="L27" s="35" t="e">
        <f t="shared" si="20"/>
        <v>#DIV/0!</v>
      </c>
      <c r="M27" s="35">
        <f t="shared" si="20"/>
        <v>10.064372753572369</v>
      </c>
    </row>
    <row r="28" spans="2:13">
      <c r="B28" t="s">
        <v>87</v>
      </c>
      <c r="C28" s="15" t="s">
        <v>21</v>
      </c>
      <c r="D28" s="33">
        <f>D21-D26</f>
        <v>9071</v>
      </c>
      <c r="E28" s="33">
        <f t="shared" ref="E28:M28" si="21">E21-E26</f>
        <v>185</v>
      </c>
      <c r="F28" s="33">
        <f t="shared" si="21"/>
        <v>63.75</v>
      </c>
      <c r="G28" s="33">
        <f t="shared" si="21"/>
        <v>9256</v>
      </c>
      <c r="H28" s="33">
        <f t="shared" si="21"/>
        <v>-452.5</v>
      </c>
      <c r="I28" s="33">
        <f t="shared" si="21"/>
        <v>-33.700000000000003</v>
      </c>
      <c r="J28" s="33">
        <f t="shared" si="21"/>
        <v>26.837932604735883</v>
      </c>
      <c r="K28" s="33" t="e">
        <f t="shared" si="21"/>
        <v>#DIV/0!</v>
      </c>
      <c r="L28" s="33" t="e">
        <f t="shared" si="21"/>
        <v>#DIV/0!</v>
      </c>
      <c r="M28" s="33">
        <f t="shared" si="21"/>
        <v>57.780313623213814</v>
      </c>
    </row>
    <row r="29" spans="2:13">
      <c r="C29" s="15" t="s">
        <v>23</v>
      </c>
      <c r="D29" s="33">
        <f t="shared" ref="D29:M29" si="22">D22-D27</f>
        <v>193</v>
      </c>
      <c r="E29" s="33">
        <f t="shared" si="22"/>
        <v>510</v>
      </c>
      <c r="F29" s="33">
        <f t="shared" si="22"/>
        <v>4.5</v>
      </c>
      <c r="G29" s="33">
        <f t="shared" si="22"/>
        <v>573</v>
      </c>
      <c r="H29" s="33">
        <f t="shared" si="22"/>
        <v>-170</v>
      </c>
      <c r="I29" s="33">
        <f t="shared" si="22"/>
        <v>-8.5</v>
      </c>
      <c r="J29" s="33">
        <f t="shared" si="22"/>
        <v>3.8453096539162113</v>
      </c>
      <c r="K29" s="33" t="e">
        <f t="shared" si="22"/>
        <v>#DIV/0!</v>
      </c>
      <c r="L29" s="33" t="e">
        <f t="shared" si="22"/>
        <v>#DIV/0!</v>
      </c>
      <c r="M29" s="33">
        <f t="shared" si="22"/>
        <v>8.5591566581923377</v>
      </c>
    </row>
    <row r="30" spans="2:13">
      <c r="C30" s="15" t="s">
        <v>40</v>
      </c>
      <c r="D30" s="33">
        <f>D40-D28</f>
        <v>-5051</v>
      </c>
      <c r="E30" s="33">
        <f t="shared" ref="E30:M30" si="23">E23-E28</f>
        <v>-185</v>
      </c>
      <c r="F30" s="33">
        <f t="shared" si="23"/>
        <v>-63.75</v>
      </c>
      <c r="G30" s="33">
        <f t="shared" si="23"/>
        <v>-9256</v>
      </c>
      <c r="H30" s="33">
        <f t="shared" si="23"/>
        <v>1152.5</v>
      </c>
      <c r="I30" s="33">
        <f t="shared" si="23"/>
        <v>67.7</v>
      </c>
      <c r="J30" s="33">
        <f t="shared" si="23"/>
        <v>-26.837932604735883</v>
      </c>
      <c r="K30" s="33" t="e">
        <f t="shared" si="23"/>
        <v>#DIV/0!</v>
      </c>
      <c r="L30" s="33" t="e">
        <f t="shared" si="23"/>
        <v>#DIV/0!</v>
      </c>
      <c r="M30" s="33">
        <f t="shared" si="23"/>
        <v>-57.780313623213814</v>
      </c>
    </row>
    <row r="31" spans="2:13">
      <c r="C31" s="15" t="s">
        <v>25</v>
      </c>
      <c r="D31" s="33">
        <f t="shared" ref="D31:M31" si="24">D24-D29</f>
        <v>1827</v>
      </c>
      <c r="E31" s="33">
        <f t="shared" si="24"/>
        <v>-510</v>
      </c>
      <c r="F31" s="33">
        <f t="shared" si="24"/>
        <v>-1.5</v>
      </c>
      <c r="G31" s="33">
        <f t="shared" si="24"/>
        <v>1447</v>
      </c>
      <c r="H31" s="33">
        <f t="shared" si="24"/>
        <v>2000</v>
      </c>
      <c r="I31" s="33">
        <f t="shared" si="24"/>
        <v>142.69999999999999</v>
      </c>
      <c r="J31" s="33">
        <f t="shared" si="24"/>
        <v>-2.7414845173041895</v>
      </c>
      <c r="K31" s="33" t="e">
        <f t="shared" si="24"/>
        <v>#DIV/0!</v>
      </c>
      <c r="L31" s="33" t="e">
        <f t="shared" si="24"/>
        <v>#DIV/0!</v>
      </c>
      <c r="M31" s="33">
        <f t="shared" si="24"/>
        <v>-7.0539405628123077</v>
      </c>
    </row>
    <row r="32" spans="2:13">
      <c r="C32" s="15" t="s">
        <v>89</v>
      </c>
      <c r="D32" s="33" cm="1">
        <f t="array" ref="D32">SUM(D28:D31*D28:D31)/COUNT(D28:D31)</f>
        <v>27792705</v>
      </c>
      <c r="E32" s="33" cm="1">
        <f t="array" ref="E32">SUM(E28:E31*E28:E31)/COUNT(E28:E31)</f>
        <v>147162.5</v>
      </c>
      <c r="F32" s="33" cm="1">
        <f t="array" ref="F32">SUM(F28:F31*F28:F31)/COUNT(F28:F31)</f>
        <v>2037.65625</v>
      </c>
      <c r="G32" s="33" cm="1">
        <f t="array" ref="G32">SUM(G28:G31*G28:G31)/COUNT(G28:G31)</f>
        <v>43442302.5</v>
      </c>
      <c r="H32" s="33" cm="1">
        <f t="array" ref="H32">SUM(H28:H31*H28:H31)/COUNT(H28:H31)</f>
        <v>1390478.125</v>
      </c>
      <c r="I32" s="33" cm="1">
        <f t="array" ref="I32">SUM(I28:I31*I28:I31)/COUNT(I28:I31)</f>
        <v>6538.6299999999992</v>
      </c>
      <c r="J32" s="33" cm="1">
        <f t="array" ref="J32">SUM(J28:J31*J28:J31)/COUNT(J28:J31)</f>
        <v>365.7128491714526</v>
      </c>
      <c r="K32" s="33" t="e" cm="1">
        <f t="array" ref="K32">SUM(K28:K31*K28:K31)/COUNT(K28:K31)</f>
        <v>#DIV/0!</v>
      </c>
      <c r="L32" s="33" t="e" cm="1">
        <f t="array" ref="L32">SUM(L28:L31*L28:L31)/COUNT(L28:L31)</f>
        <v>#DIV/0!</v>
      </c>
      <c r="M32" s="33" cm="1">
        <f t="array" ref="M32">SUM(M28:M31*M28:M31)/COUNT(M28:M31)</f>
        <v>1700.0366312392657</v>
      </c>
    </row>
    <row r="33" spans="2:13">
      <c r="C33" s="15" t="s">
        <v>58</v>
      </c>
      <c r="D33" s="33">
        <f>SQRT(D32)</f>
        <v>5271.8786973905235</v>
      </c>
      <c r="E33" s="33">
        <f t="shared" ref="E33" si="25">SQRT(E32)</f>
        <v>383.61764818631588</v>
      </c>
      <c r="F33" s="33">
        <f t="shared" ref="F33" si="26">SQRT(F32)</f>
        <v>45.140405957412476</v>
      </c>
      <c r="G33" s="33">
        <f t="shared" ref="G33" si="27">SQRT(G32)</f>
        <v>6591.0774915790516</v>
      </c>
      <c r="H33" s="33">
        <f t="shared" ref="H33" si="28">SQRT(H32)</f>
        <v>1179.1853649872016</v>
      </c>
      <c r="I33" s="33">
        <f t="shared" ref="I33" si="29">SQRT(I32)</f>
        <v>80.861795676326651</v>
      </c>
      <c r="J33" s="33">
        <f t="shared" ref="J33" si="30">SQRT(J32)</f>
        <v>19.123620190002011</v>
      </c>
      <c r="K33" s="33" t="e">
        <f t="shared" ref="K33" si="31">SQRT(K32)</f>
        <v>#DIV/0!</v>
      </c>
      <c r="L33" s="33" t="e">
        <f t="shared" ref="L33" si="32">SQRT(L32)</f>
        <v>#DIV/0!</v>
      </c>
      <c r="M33" s="33">
        <f t="shared" ref="M33" si="33">SQRT(M32)</f>
        <v>41.231500472809202</v>
      </c>
    </row>
    <row r="34" spans="2:13">
      <c r="D34" s="25"/>
      <c r="E34" s="25"/>
      <c r="F34" s="25"/>
      <c r="G34" s="25"/>
      <c r="H34" s="25"/>
      <c r="I34" s="25"/>
      <c r="J34" s="25"/>
      <c r="K34" s="25"/>
      <c r="L34" s="25"/>
      <c r="M34" s="25"/>
    </row>
    <row r="35" spans="2:13"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2:13">
      <c r="D36" s="25"/>
      <c r="E36" s="25"/>
      <c r="F36" s="27"/>
      <c r="G36" s="27"/>
      <c r="H36" s="25"/>
      <c r="I36" s="25"/>
      <c r="J36" s="25" t="s">
        <v>88</v>
      </c>
      <c r="K36" s="25"/>
      <c r="L36" s="25"/>
      <c r="M36" s="25"/>
    </row>
    <row r="37" spans="2:13">
      <c r="B37" t="s">
        <v>81</v>
      </c>
      <c r="C37" s="5" t="s">
        <v>5</v>
      </c>
      <c r="D37" s="28" t="s">
        <v>127</v>
      </c>
      <c r="E37" s="28" t="s">
        <v>7</v>
      </c>
      <c r="F37" s="29" t="s">
        <v>8</v>
      </c>
      <c r="G37" s="28" t="s">
        <v>128</v>
      </c>
      <c r="H37" s="28" t="s">
        <v>50</v>
      </c>
      <c r="I37" s="28" t="s">
        <v>60</v>
      </c>
      <c r="J37" s="28" t="s">
        <v>129</v>
      </c>
      <c r="K37" s="28" t="s">
        <v>62</v>
      </c>
      <c r="L37" s="25" t="s">
        <v>61</v>
      </c>
      <c r="M37" s="25" t="s">
        <v>151</v>
      </c>
    </row>
    <row r="38" spans="2:13">
      <c r="C38" t="s">
        <v>21</v>
      </c>
      <c r="D38" s="25">
        <f>SUM(月収!H139:H147)</f>
        <v>13570</v>
      </c>
      <c r="E38" s="25">
        <f>SUM(月収!I139:I147)</f>
        <v>500</v>
      </c>
      <c r="F38" s="25">
        <f>SUM(月収!J139:J147)</f>
        <v>90</v>
      </c>
      <c r="G38" s="25">
        <f>SUM(D38:E38)</f>
        <v>14070</v>
      </c>
      <c r="H38" s="25">
        <v>360</v>
      </c>
      <c r="I38" s="25">
        <v>16.8</v>
      </c>
      <c r="J38" s="25">
        <f>G38/ H38</f>
        <v>39.083333333333336</v>
      </c>
      <c r="K38" s="25">
        <f>D38/G38</f>
        <v>0.96446339729921815</v>
      </c>
      <c r="L38" s="25">
        <f>E38/G38</f>
        <v>3.5536602700781808E-2</v>
      </c>
      <c r="M38" s="25">
        <f>G38/I38*100/1000</f>
        <v>83.75</v>
      </c>
    </row>
    <row r="39" spans="2:13">
      <c r="C39" t="s">
        <v>23</v>
      </c>
      <c r="D39" s="25">
        <f>SUM(月収!H130:H137)</f>
        <v>7126</v>
      </c>
      <c r="E39" s="25">
        <f>SUM(月収!I130:I137)</f>
        <v>4165</v>
      </c>
      <c r="F39" s="25">
        <f>SUM(月収!J130:J137)</f>
        <v>46</v>
      </c>
      <c r="G39" s="25">
        <f t="shared" ref="G39:G41" si="34">SUM(D39:E39)</f>
        <v>11291</v>
      </c>
      <c r="H39" s="25">
        <v>360</v>
      </c>
      <c r="I39" s="25">
        <v>17</v>
      </c>
      <c r="J39" s="25">
        <f t="shared" ref="J39:J41" si="35">G39/ H39</f>
        <v>31.363888888888887</v>
      </c>
      <c r="K39" s="25">
        <f t="shared" ref="K39:K41" si="36">D39/G39</f>
        <v>0.63112213267203965</v>
      </c>
      <c r="L39" s="25">
        <f t="shared" ref="L39:L41" si="37">E39/G39</f>
        <v>0.3688778673279603</v>
      </c>
      <c r="M39" s="25">
        <f t="shared" ref="M39:M41" si="38">G39/I39*100/1000</f>
        <v>66.417647058823519</v>
      </c>
    </row>
    <row r="40" spans="2:13">
      <c r="C40" t="s">
        <v>40</v>
      </c>
      <c r="D40" s="25">
        <f>SUM(月収!H122:H128)</f>
        <v>4020</v>
      </c>
      <c r="E40" s="25">
        <f>SUM(月収!I122:I128)</f>
        <v>1868</v>
      </c>
      <c r="F40" s="25">
        <f>SUM(月収!J122:J128)</f>
        <v>30</v>
      </c>
      <c r="G40" s="25">
        <f>SUM(D40:E40)</f>
        <v>5888</v>
      </c>
      <c r="H40" s="25">
        <v>700</v>
      </c>
      <c r="I40" s="25">
        <v>34</v>
      </c>
      <c r="J40" s="25">
        <f t="shared" si="35"/>
        <v>8.411428571428571</v>
      </c>
      <c r="K40" s="25">
        <f>D57/G40</f>
        <v>1.3685461956521738</v>
      </c>
      <c r="L40" s="25">
        <f t="shared" si="37"/>
        <v>0.3172554347826087</v>
      </c>
      <c r="M40" s="25">
        <f t="shared" si="38"/>
        <v>17.317647058823532</v>
      </c>
    </row>
    <row r="41" spans="2:13">
      <c r="C41" t="s">
        <v>25</v>
      </c>
      <c r="D41" s="25">
        <f>SUM(月収!H74:H120)</f>
        <v>52238</v>
      </c>
      <c r="E41" s="25">
        <f>SUM(月収!I74:I120)</f>
        <v>8941</v>
      </c>
      <c r="F41" s="25">
        <f>SUM(月収!J74:J120)</f>
        <v>370</v>
      </c>
      <c r="G41" s="25">
        <f t="shared" si="34"/>
        <v>61179</v>
      </c>
      <c r="H41" s="25">
        <f>H42-(H38+H39+H40)</f>
        <v>1830</v>
      </c>
      <c r="I41" s="25">
        <f>202-I38-I39-I40</f>
        <v>134.19999999999999</v>
      </c>
      <c r="J41" s="25">
        <f t="shared" si="35"/>
        <v>33.431147540983609</v>
      </c>
      <c r="K41" s="25">
        <f t="shared" si="36"/>
        <v>0.8538550809918436</v>
      </c>
      <c r="L41" s="25">
        <f t="shared" si="37"/>
        <v>0.1461449190081564</v>
      </c>
      <c r="M41" s="25">
        <f t="shared" si="38"/>
        <v>45.587928464977644</v>
      </c>
    </row>
    <row r="42" spans="2:13">
      <c r="C42" s="34" t="s">
        <v>56</v>
      </c>
      <c r="D42" s="35">
        <f>SUM(D38:D41)</f>
        <v>76954</v>
      </c>
      <c r="E42" s="35">
        <f t="shared" ref="E42:G42" si="39">SUM(E38:E41)</f>
        <v>15474</v>
      </c>
      <c r="F42" s="35">
        <f t="shared" si="39"/>
        <v>536</v>
      </c>
      <c r="G42" s="35">
        <f t="shared" si="39"/>
        <v>92428</v>
      </c>
      <c r="H42" s="35">
        <v>3250</v>
      </c>
      <c r="I42" s="35">
        <f>SUM(I38:I41)</f>
        <v>202</v>
      </c>
      <c r="J42" s="35"/>
      <c r="K42" s="35"/>
      <c r="L42" s="35"/>
      <c r="M42" s="35">
        <f>SUM(M38:M41)</f>
        <v>213.07322258262468</v>
      </c>
    </row>
    <row r="43" spans="2:13">
      <c r="C43" s="34" t="s">
        <v>57</v>
      </c>
      <c r="D43" s="35">
        <f>AVERAGE(D38:D41)</f>
        <v>19238.5</v>
      </c>
      <c r="E43" s="35">
        <f t="shared" ref="E43:M43" si="40">AVERAGE(E38:E41)</f>
        <v>3868.5</v>
      </c>
      <c r="F43" s="35">
        <f t="shared" si="40"/>
        <v>134</v>
      </c>
      <c r="G43" s="35">
        <f t="shared" si="40"/>
        <v>23107</v>
      </c>
      <c r="H43" s="35">
        <f t="shared" si="40"/>
        <v>812.5</v>
      </c>
      <c r="I43" s="35">
        <f t="shared" si="40"/>
        <v>50.5</v>
      </c>
      <c r="J43" s="35">
        <f t="shared" si="40"/>
        <v>28.072449583658603</v>
      </c>
      <c r="K43" s="35">
        <f t="shared" si="40"/>
        <v>0.95449670165381884</v>
      </c>
      <c r="L43" s="35">
        <f t="shared" si="40"/>
        <v>0.21695370595487681</v>
      </c>
      <c r="M43" s="35">
        <f t="shared" si="40"/>
        <v>53.26830564565617</v>
      </c>
    </row>
    <row r="44" spans="2:13">
      <c r="C44" s="34" t="s">
        <v>59</v>
      </c>
      <c r="D44" s="35">
        <f>MEDIAN(D38:D41)</f>
        <v>10348</v>
      </c>
      <c r="E44" s="35">
        <f t="shared" ref="E44:M44" si="41">MEDIAN(E38:E41)</f>
        <v>3016.5</v>
      </c>
      <c r="F44" s="35">
        <f t="shared" si="41"/>
        <v>68</v>
      </c>
      <c r="G44" s="35">
        <f t="shared" si="41"/>
        <v>12680.5</v>
      </c>
      <c r="H44" s="35">
        <f t="shared" si="41"/>
        <v>530</v>
      </c>
      <c r="I44" s="35">
        <f t="shared" si="41"/>
        <v>25.5</v>
      </c>
      <c r="J44" s="35">
        <f t="shared" si="41"/>
        <v>32.397518214936248</v>
      </c>
      <c r="K44" s="35">
        <f t="shared" si="41"/>
        <v>0.90915923914553087</v>
      </c>
      <c r="L44" s="35">
        <f t="shared" si="41"/>
        <v>0.23170017689538255</v>
      </c>
      <c r="M44" s="35">
        <f t="shared" si="41"/>
        <v>56.002787761900578</v>
      </c>
    </row>
    <row r="45" spans="2:13">
      <c r="B45" t="s">
        <v>87</v>
      </c>
      <c r="C45" s="15" t="s">
        <v>21</v>
      </c>
      <c r="D45" s="33">
        <f>D38-D43</f>
        <v>-5668.5</v>
      </c>
      <c r="E45" s="33">
        <f t="shared" ref="E45:M45" si="42">E38-E43</f>
        <v>-3368.5</v>
      </c>
      <c r="F45" s="33">
        <f t="shared" si="42"/>
        <v>-44</v>
      </c>
      <c r="G45" s="33">
        <f t="shared" si="42"/>
        <v>-9037</v>
      </c>
      <c r="H45" s="33">
        <f t="shared" si="42"/>
        <v>-452.5</v>
      </c>
      <c r="I45" s="33">
        <f t="shared" si="42"/>
        <v>-33.700000000000003</v>
      </c>
      <c r="J45" s="33">
        <f t="shared" si="42"/>
        <v>11.010883749674733</v>
      </c>
      <c r="K45" s="33">
        <f t="shared" si="42"/>
        <v>9.966695645399315E-3</v>
      </c>
      <c r="L45" s="33">
        <f t="shared" si="42"/>
        <v>-0.18141710325409499</v>
      </c>
      <c r="M45" s="33">
        <f t="shared" si="42"/>
        <v>30.48169435434383</v>
      </c>
    </row>
    <row r="46" spans="2:13">
      <c r="C46" s="15" t="s">
        <v>23</v>
      </c>
      <c r="D46" s="33">
        <f t="shared" ref="D46:M46" si="43">D39-D44</f>
        <v>-3222</v>
      </c>
      <c r="E46" s="33">
        <f t="shared" si="43"/>
        <v>1148.5</v>
      </c>
      <c r="F46" s="33">
        <f t="shared" si="43"/>
        <v>-22</v>
      </c>
      <c r="G46" s="33">
        <f t="shared" si="43"/>
        <v>-1389.5</v>
      </c>
      <c r="H46" s="33">
        <f t="shared" si="43"/>
        <v>-170</v>
      </c>
      <c r="I46" s="33">
        <f t="shared" si="43"/>
        <v>-8.5</v>
      </c>
      <c r="J46" s="33">
        <f t="shared" si="43"/>
        <v>-1.033629326047361</v>
      </c>
      <c r="K46" s="33">
        <f t="shared" si="43"/>
        <v>-0.27803710647349122</v>
      </c>
      <c r="L46" s="33">
        <f t="shared" si="43"/>
        <v>0.13717769043257774</v>
      </c>
      <c r="M46" s="33">
        <f t="shared" si="43"/>
        <v>10.414859296922941</v>
      </c>
    </row>
    <row r="47" spans="2:13">
      <c r="C47" s="15" t="s">
        <v>40</v>
      </c>
      <c r="D47" s="33">
        <f>D57-D45</f>
        <v>13726.5</v>
      </c>
      <c r="E47" s="33">
        <f t="shared" ref="E47:M47" si="44">E40-E45</f>
        <v>5236.5</v>
      </c>
      <c r="F47" s="33">
        <f t="shared" si="44"/>
        <v>74</v>
      </c>
      <c r="G47" s="33">
        <f t="shared" si="44"/>
        <v>14925</v>
      </c>
      <c r="H47" s="33">
        <f t="shared" si="44"/>
        <v>1152.5</v>
      </c>
      <c r="I47" s="33">
        <f t="shared" si="44"/>
        <v>67.7</v>
      </c>
      <c r="J47" s="33">
        <f t="shared" si="44"/>
        <v>-2.5994551782461617</v>
      </c>
      <c r="K47" s="33">
        <f t="shared" si="44"/>
        <v>1.3585795000067744</v>
      </c>
      <c r="L47" s="33">
        <f t="shared" si="44"/>
        <v>0.49867253803670369</v>
      </c>
      <c r="M47" s="33">
        <f t="shared" si="44"/>
        <v>-13.164047295520298</v>
      </c>
    </row>
    <row r="48" spans="2:13">
      <c r="C48" s="15" t="s">
        <v>25</v>
      </c>
      <c r="D48" s="33">
        <f t="shared" ref="D48:M48" si="45">D41-D46</f>
        <v>55460</v>
      </c>
      <c r="E48" s="33">
        <f t="shared" si="45"/>
        <v>7792.5</v>
      </c>
      <c r="F48" s="33">
        <f t="shared" si="45"/>
        <v>392</v>
      </c>
      <c r="G48" s="33">
        <f t="shared" si="45"/>
        <v>62568.5</v>
      </c>
      <c r="H48" s="33">
        <f t="shared" si="45"/>
        <v>2000</v>
      </c>
      <c r="I48" s="33">
        <f t="shared" si="45"/>
        <v>142.69999999999999</v>
      </c>
      <c r="J48" s="33">
        <f t="shared" si="45"/>
        <v>34.46477686703097</v>
      </c>
      <c r="K48" s="33">
        <f t="shared" si="45"/>
        <v>1.1318921874653349</v>
      </c>
      <c r="L48" s="33">
        <f t="shared" si="45"/>
        <v>8.9672285755786618E-3</v>
      </c>
      <c r="M48" s="33">
        <f t="shared" si="45"/>
        <v>35.173069168054703</v>
      </c>
    </row>
    <row r="49" spans="2:13">
      <c r="C49" s="15" t="s">
        <v>89</v>
      </c>
      <c r="D49" s="33" cm="1">
        <f t="array" ref="D49">SUM(D45:D48*D45:D48)/COUNT(D45:D48)</f>
        <v>826685394.625</v>
      </c>
      <c r="E49" s="33" cm="1">
        <f t="array" ref="E49">SUM(E45:E48*E45:E48)/COUNT(E45:E48)</f>
        <v>25202458.25</v>
      </c>
      <c r="F49" s="33" cm="1">
        <f t="array" ref="F49">SUM(F45:F48*F45:F48)/COUNT(F45:F48)</f>
        <v>40390</v>
      </c>
      <c r="G49" s="33" cm="1">
        <f t="array" ref="G49">SUM(G45:G48*G45:G48)/COUNT(G45:G48)</f>
        <v>1055292724.125</v>
      </c>
      <c r="H49" s="33" cm="1">
        <f t="array" ref="H49">SUM(H45:H48*H45:H48)/COUNT(H45:H48)</f>
        <v>1390478.125</v>
      </c>
      <c r="I49" s="33" cm="1">
        <f t="array" ref="I49">SUM(I45:I48*I45:I48)/COUNT(I45:I48)</f>
        <v>6538.6299999999992</v>
      </c>
      <c r="J49" s="33" cm="1">
        <f t="array" ref="J49">SUM(J45:J48*J45:J48)/COUNT(J45:J48)</f>
        <v>329.22149056261503</v>
      </c>
      <c r="K49" s="33" cm="1">
        <f t="array" ref="K49">SUM(K45:K48*K45:K48)/COUNT(K45:K48)</f>
        <v>0.80108053737048945</v>
      </c>
      <c r="L49" s="33" cm="1">
        <f t="array" ref="L49">SUM(L45:L48*L45:L48)/COUNT(L45:L48)</f>
        <v>7.5121148871454366E-2</v>
      </c>
      <c r="M49" s="33" cm="1">
        <f t="array" ref="M49">SUM(M45:M48*M45:M48)/COUNT(M45:M48)</f>
        <v>612.00998019644862</v>
      </c>
    </row>
    <row r="50" spans="2:13">
      <c r="C50" s="15" t="s">
        <v>58</v>
      </c>
      <c r="D50" s="33">
        <f>SQRT(D49)</f>
        <v>28752.137218387783</v>
      </c>
      <c r="E50" s="33">
        <f t="shared" ref="E50" si="46">SQRT(E49)</f>
        <v>5020.2050007942898</v>
      </c>
      <c r="F50" s="33">
        <f t="shared" ref="F50" si="47">SQRT(F49)</f>
        <v>200.97263495311992</v>
      </c>
      <c r="G50" s="33">
        <f t="shared" ref="G50" si="48">SQRT(G49)</f>
        <v>32485.269340502626</v>
      </c>
      <c r="H50" s="33">
        <f t="shared" ref="H50" si="49">SQRT(H49)</f>
        <v>1179.1853649872016</v>
      </c>
      <c r="I50" s="33">
        <f t="shared" ref="I50" si="50">SQRT(I49)</f>
        <v>80.861795676326651</v>
      </c>
      <c r="J50" s="33">
        <f t="shared" ref="J50" si="51">SQRT(J49)</f>
        <v>18.144461704956008</v>
      </c>
      <c r="K50" s="33">
        <f t="shared" ref="K50" si="52">SQRT(K49)</f>
        <v>0.89503102592619066</v>
      </c>
      <c r="L50" s="33">
        <f t="shared" ref="L50" si="53">SQRT(L49)</f>
        <v>0.27408237606868191</v>
      </c>
      <c r="M50" s="33">
        <f t="shared" ref="M50" si="54">SQRT(M49)</f>
        <v>24.738835465648915</v>
      </c>
    </row>
    <row r="51" spans="2:13"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2:13">
      <c r="D52" s="25"/>
      <c r="E52" s="25"/>
      <c r="F52" s="25"/>
      <c r="G52" s="25"/>
      <c r="H52" s="25"/>
      <c r="I52" s="25"/>
      <c r="J52" s="25"/>
      <c r="K52" s="25"/>
      <c r="L52" s="25"/>
      <c r="M52" s="25"/>
    </row>
    <row r="53" spans="2:13">
      <c r="D53" s="25"/>
      <c r="E53" s="25"/>
      <c r="F53" s="27"/>
      <c r="G53" s="27"/>
      <c r="H53" s="25"/>
      <c r="I53" s="25"/>
      <c r="J53" s="25" t="s">
        <v>88</v>
      </c>
      <c r="K53" s="25"/>
      <c r="L53" s="25"/>
      <c r="M53" s="25"/>
    </row>
    <row r="54" spans="2:13">
      <c r="B54" t="s">
        <v>82</v>
      </c>
      <c r="C54" s="5" t="s">
        <v>5</v>
      </c>
      <c r="D54" s="28" t="s">
        <v>127</v>
      </c>
      <c r="E54" s="28" t="s">
        <v>7</v>
      </c>
      <c r="F54" s="29" t="s">
        <v>8</v>
      </c>
      <c r="G54" s="28" t="s">
        <v>128</v>
      </c>
      <c r="H54" s="28" t="s">
        <v>50</v>
      </c>
      <c r="I54" s="28" t="s">
        <v>60</v>
      </c>
      <c r="J54" s="28" t="s">
        <v>129</v>
      </c>
      <c r="K54" s="28" t="s">
        <v>62</v>
      </c>
      <c r="L54" s="25" t="s">
        <v>61</v>
      </c>
      <c r="M54" s="25" t="s">
        <v>151</v>
      </c>
    </row>
    <row r="55" spans="2:13">
      <c r="C55" t="s">
        <v>21</v>
      </c>
      <c r="D55" s="25">
        <f>SUM(月収!N166:N173)</f>
        <v>3659</v>
      </c>
      <c r="E55" s="25">
        <f>SUM(月収!O166:O173)</f>
        <v>4982</v>
      </c>
      <c r="F55" s="25">
        <f>SUM(月収!P166:P173)</f>
        <v>20</v>
      </c>
      <c r="G55" s="25">
        <f>SUM(D55:E55)</f>
        <v>8641</v>
      </c>
      <c r="H55" s="25">
        <v>360</v>
      </c>
      <c r="I55" s="25">
        <v>16.8</v>
      </c>
      <c r="J55" s="25">
        <f>G55/ H55</f>
        <v>24.002777777777776</v>
      </c>
      <c r="K55" s="25">
        <f>D55/G55</f>
        <v>0.42344636037495659</v>
      </c>
      <c r="L55" s="25">
        <f>E55/G55</f>
        <v>0.57655363962504336</v>
      </c>
      <c r="M55" s="25">
        <f>G55/I55*100/1000</f>
        <v>51.43452380952381</v>
      </c>
    </row>
    <row r="56" spans="2:13">
      <c r="C56" t="s">
        <v>23</v>
      </c>
      <c r="D56" s="25">
        <f>SUM(月収!N157:N164)</f>
        <v>8366</v>
      </c>
      <c r="E56" s="25">
        <f>SUM(月収!O157:O164)</f>
        <v>5201</v>
      </c>
      <c r="F56" s="25">
        <f>SUM(月収!P157:P164)</f>
        <v>73</v>
      </c>
      <c r="G56" s="25">
        <f t="shared" ref="G56:G58" si="55">SUM(D56:E56)</f>
        <v>13567</v>
      </c>
      <c r="H56" s="25">
        <v>360</v>
      </c>
      <c r="I56" s="25">
        <v>17</v>
      </c>
      <c r="J56" s="25">
        <f t="shared" ref="J56:J58" si="56">G56/ H56</f>
        <v>37.68611111111111</v>
      </c>
      <c r="K56" s="25">
        <f t="shared" ref="K56:K58" si="57">D56/G56</f>
        <v>0.61664332571681291</v>
      </c>
      <c r="L56" s="25">
        <f t="shared" ref="L56:L58" si="58">E56/G56</f>
        <v>0.38335667428318715</v>
      </c>
      <c r="M56" s="25">
        <f t="shared" ref="M56:M58" si="59">G56/I56*100/1000</f>
        <v>79.805882352941168</v>
      </c>
    </row>
    <row r="57" spans="2:13">
      <c r="C57" t="s">
        <v>40</v>
      </c>
      <c r="D57" s="25">
        <f>SUM(月収!N144:N155)</f>
        <v>8058</v>
      </c>
      <c r="E57" s="25">
        <f>SUM(月収!O144:O155)</f>
        <v>11302</v>
      </c>
      <c r="F57" s="25">
        <f>SUM(月収!P144:P155)</f>
        <v>64</v>
      </c>
      <c r="G57" s="25">
        <f>SUM(D57:E57)</f>
        <v>19360</v>
      </c>
      <c r="H57" s="25">
        <v>700</v>
      </c>
      <c r="I57" s="25">
        <v>34</v>
      </c>
      <c r="J57" s="25">
        <f t="shared" si="56"/>
        <v>27.657142857142858</v>
      </c>
      <c r="K57" s="25">
        <f>D74/G57</f>
        <v>0.20609504132231404</v>
      </c>
      <c r="L57" s="25">
        <f t="shared" si="58"/>
        <v>0.58378099173553721</v>
      </c>
      <c r="M57" s="25">
        <f t="shared" si="59"/>
        <v>56.941176470588232</v>
      </c>
    </row>
    <row r="58" spans="2:13">
      <c r="C58" t="s">
        <v>25</v>
      </c>
      <c r="D58" s="25">
        <f>SUM(月収!N87:N142)</f>
        <v>40655</v>
      </c>
      <c r="E58" s="25">
        <f>SUM(月収!O87:O142)</f>
        <v>23358</v>
      </c>
      <c r="F58" s="25">
        <f>SUM(月収!P87:P142)</f>
        <v>297</v>
      </c>
      <c r="G58" s="25">
        <f t="shared" si="55"/>
        <v>64013</v>
      </c>
      <c r="H58" s="25">
        <f>H59-(H55+H56+H57)</f>
        <v>1830</v>
      </c>
      <c r="I58" s="25">
        <f>202-I55-I56-I57</f>
        <v>134.19999999999999</v>
      </c>
      <c r="J58" s="25">
        <f t="shared" si="56"/>
        <v>34.979781420765029</v>
      </c>
      <c r="K58" s="25">
        <f t="shared" si="57"/>
        <v>0.63510536922187677</v>
      </c>
      <c r="L58" s="25">
        <f t="shared" si="58"/>
        <v>0.36489463077812317</v>
      </c>
      <c r="M58" s="25">
        <f t="shared" si="59"/>
        <v>47.699701937406864</v>
      </c>
    </row>
    <row r="59" spans="2:13">
      <c r="C59" s="34" t="s">
        <v>56</v>
      </c>
      <c r="D59" s="35">
        <f>SUM(D55:D58)</f>
        <v>60738</v>
      </c>
      <c r="E59" s="35">
        <f t="shared" ref="E59:G59" si="60">SUM(E55:E58)</f>
        <v>44843</v>
      </c>
      <c r="F59" s="35">
        <f t="shared" si="60"/>
        <v>454</v>
      </c>
      <c r="G59" s="35">
        <f t="shared" si="60"/>
        <v>105581</v>
      </c>
      <c r="H59" s="35">
        <v>3250</v>
      </c>
      <c r="I59" s="35">
        <f>SUM(I55:I58)</f>
        <v>202</v>
      </c>
      <c r="J59" s="35"/>
      <c r="K59" s="35"/>
      <c r="L59" s="35"/>
      <c r="M59" s="35">
        <f>SUM(M55:M58)</f>
        <v>235.88128457046008</v>
      </c>
    </row>
    <row r="60" spans="2:13">
      <c r="C60" s="34" t="s">
        <v>57</v>
      </c>
      <c r="D60" s="35">
        <f>AVERAGE(D55:D58)</f>
        <v>15184.5</v>
      </c>
      <c r="E60" s="35">
        <f t="shared" ref="E60:M60" si="61">AVERAGE(E55:E58)</f>
        <v>11210.75</v>
      </c>
      <c r="F60" s="35">
        <f t="shared" si="61"/>
        <v>113.5</v>
      </c>
      <c r="G60" s="35">
        <f t="shared" si="61"/>
        <v>26395.25</v>
      </c>
      <c r="H60" s="35">
        <f t="shared" si="61"/>
        <v>812.5</v>
      </c>
      <c r="I60" s="35">
        <f t="shared" si="61"/>
        <v>50.5</v>
      </c>
      <c r="J60" s="35">
        <f t="shared" si="61"/>
        <v>31.081453291699191</v>
      </c>
      <c r="K60" s="35">
        <f t="shared" si="61"/>
        <v>0.47032252415899012</v>
      </c>
      <c r="L60" s="35">
        <f t="shared" si="61"/>
        <v>0.47714648410547272</v>
      </c>
      <c r="M60" s="35">
        <f t="shared" si="61"/>
        <v>58.97032114261502</v>
      </c>
    </row>
    <row r="61" spans="2:13">
      <c r="C61" s="34" t="s">
        <v>59</v>
      </c>
      <c r="D61" s="35">
        <f>MEDIAN(D55:D58)</f>
        <v>8212</v>
      </c>
      <c r="E61" s="35">
        <f t="shared" ref="E61:M61" si="62">MEDIAN(E55:E58)</f>
        <v>8251.5</v>
      </c>
      <c r="F61" s="35">
        <f t="shared" si="62"/>
        <v>68.5</v>
      </c>
      <c r="G61" s="35">
        <f t="shared" si="62"/>
        <v>16463.5</v>
      </c>
      <c r="H61" s="35">
        <f t="shared" si="62"/>
        <v>530</v>
      </c>
      <c r="I61" s="35">
        <f t="shared" si="62"/>
        <v>25.5</v>
      </c>
      <c r="J61" s="35">
        <f t="shared" si="62"/>
        <v>31.318462138953944</v>
      </c>
      <c r="K61" s="35">
        <f t="shared" si="62"/>
        <v>0.52004484304588472</v>
      </c>
      <c r="L61" s="35">
        <f t="shared" si="62"/>
        <v>0.47995515695411528</v>
      </c>
      <c r="M61" s="35">
        <f t="shared" si="62"/>
        <v>54.187850140056021</v>
      </c>
    </row>
    <row r="62" spans="2:13">
      <c r="B62" t="s">
        <v>87</v>
      </c>
      <c r="C62" s="15" t="s">
        <v>21</v>
      </c>
      <c r="D62" s="33">
        <f>D55-D60</f>
        <v>-11525.5</v>
      </c>
      <c r="E62" s="33">
        <f t="shared" ref="E62:M62" si="63">E55-E60</f>
        <v>-6228.75</v>
      </c>
      <c r="F62" s="33">
        <f t="shared" si="63"/>
        <v>-93.5</v>
      </c>
      <c r="G62" s="33">
        <f t="shared" si="63"/>
        <v>-17754.25</v>
      </c>
      <c r="H62" s="33">
        <f t="shared" si="63"/>
        <v>-452.5</v>
      </c>
      <c r="I62" s="33">
        <f t="shared" si="63"/>
        <v>-33.700000000000003</v>
      </c>
      <c r="J62" s="33">
        <f t="shared" si="63"/>
        <v>-7.0786755139214144</v>
      </c>
      <c r="K62" s="33">
        <f t="shared" si="63"/>
        <v>-4.6876163784033531E-2</v>
      </c>
      <c r="L62" s="33">
        <f t="shared" si="63"/>
        <v>9.9407155519570634E-2</v>
      </c>
      <c r="M62" s="33">
        <f t="shared" si="63"/>
        <v>-7.5357973330912102</v>
      </c>
    </row>
    <row r="63" spans="2:13">
      <c r="C63" s="15" t="s">
        <v>23</v>
      </c>
      <c r="D63" s="33">
        <f t="shared" ref="D63:M63" si="64">D56-D61</f>
        <v>154</v>
      </c>
      <c r="E63" s="33">
        <f t="shared" si="64"/>
        <v>-3050.5</v>
      </c>
      <c r="F63" s="33">
        <f t="shared" si="64"/>
        <v>4.5</v>
      </c>
      <c r="G63" s="33">
        <f t="shared" si="64"/>
        <v>-2896.5</v>
      </c>
      <c r="H63" s="33">
        <f t="shared" si="64"/>
        <v>-170</v>
      </c>
      <c r="I63" s="33">
        <f t="shared" si="64"/>
        <v>-8.5</v>
      </c>
      <c r="J63" s="33">
        <f t="shared" si="64"/>
        <v>6.3676489721571663</v>
      </c>
      <c r="K63" s="33">
        <f t="shared" si="64"/>
        <v>9.6598482670928187E-2</v>
      </c>
      <c r="L63" s="33">
        <f t="shared" si="64"/>
        <v>-9.6598482670928132E-2</v>
      </c>
      <c r="M63" s="33">
        <f t="shared" si="64"/>
        <v>25.618032212885147</v>
      </c>
    </row>
    <row r="64" spans="2:13">
      <c r="C64" s="15" t="s">
        <v>40</v>
      </c>
      <c r="D64" s="33">
        <f>D74-D62</f>
        <v>15515.5</v>
      </c>
      <c r="E64" s="33">
        <f t="shared" ref="E64:M64" si="65">E57-E62</f>
        <v>17530.75</v>
      </c>
      <c r="F64" s="33">
        <f t="shared" si="65"/>
        <v>157.5</v>
      </c>
      <c r="G64" s="33">
        <f t="shared" si="65"/>
        <v>37114.25</v>
      </c>
      <c r="H64" s="33">
        <f t="shared" si="65"/>
        <v>1152.5</v>
      </c>
      <c r="I64" s="33">
        <f t="shared" si="65"/>
        <v>67.7</v>
      </c>
      <c r="J64" s="33">
        <f t="shared" si="65"/>
        <v>34.735818371064269</v>
      </c>
      <c r="K64" s="33">
        <f t="shared" si="65"/>
        <v>0.25297120510634757</v>
      </c>
      <c r="L64" s="33">
        <f t="shared" si="65"/>
        <v>0.48437383621596658</v>
      </c>
      <c r="M64" s="33">
        <f t="shared" si="65"/>
        <v>64.476973803679442</v>
      </c>
    </row>
    <row r="65" spans="2:13">
      <c r="C65" s="15" t="s">
        <v>25</v>
      </c>
      <c r="D65" s="33">
        <f t="shared" ref="D65:M65" si="66">D58-D63</f>
        <v>40501</v>
      </c>
      <c r="E65" s="33">
        <f t="shared" si="66"/>
        <v>26408.5</v>
      </c>
      <c r="F65" s="33">
        <f t="shared" si="66"/>
        <v>292.5</v>
      </c>
      <c r="G65" s="33">
        <f t="shared" si="66"/>
        <v>66909.5</v>
      </c>
      <c r="H65" s="33">
        <f t="shared" si="66"/>
        <v>2000</v>
      </c>
      <c r="I65" s="33">
        <f t="shared" si="66"/>
        <v>142.69999999999999</v>
      </c>
      <c r="J65" s="33">
        <f t="shared" si="66"/>
        <v>28.612132448607863</v>
      </c>
      <c r="K65" s="33">
        <f t="shared" si="66"/>
        <v>0.53850688655094858</v>
      </c>
      <c r="L65" s="33">
        <f t="shared" si="66"/>
        <v>0.46149311344905131</v>
      </c>
      <c r="M65" s="33">
        <f t="shared" si="66"/>
        <v>22.081669724521717</v>
      </c>
    </row>
    <row r="66" spans="2:13">
      <c r="C66" s="15" t="s">
        <v>89</v>
      </c>
      <c r="D66" s="33" cm="1">
        <f t="array" ref="D66">SUM(D62:D65*D62:D65)/COUNT(D62:D65)</f>
        <v>503480651.875</v>
      </c>
      <c r="E66" s="33" cm="1">
        <f t="array" ref="E66">SUM(E62:E65*E62:E65)/COUNT(E62:E65)</f>
        <v>263209736.15625</v>
      </c>
      <c r="F66" s="33" cm="1">
        <f t="array" ref="F66">SUM(F62:F65*F62:F65)/COUNT(F62:F65)</f>
        <v>29781.25</v>
      </c>
      <c r="G66" s="33" cm="1">
        <f t="array" ref="G66">SUM(G62:G65*G62:G65)/COUNT(G62:G65)</f>
        <v>1544487962.15625</v>
      </c>
      <c r="H66" s="33" cm="1">
        <f t="array" ref="H66">SUM(H62:H65*H62:H65)/COUNT(H62:H65)</f>
        <v>1390478.125</v>
      </c>
      <c r="I66" s="33" cm="1">
        <f t="array" ref="I66">SUM(I62:I65*I62:I65)/COUNT(I62:I65)</f>
        <v>6538.6299999999992</v>
      </c>
      <c r="J66" s="33" cm="1">
        <f t="array" ref="J66">SUM(J62:J65*J62:J65)/COUNT(J62:J65)</f>
        <v>528.97145040706243</v>
      </c>
      <c r="K66" s="33" cm="1">
        <f t="array" ref="K66">SUM(K62:K65*K62:K65)/COUNT(K62:K65)</f>
        <v>9.1378184765296785E-2</v>
      </c>
      <c r="L66" s="33" cm="1">
        <f t="array" ref="L66">SUM(L62:L65*L62:L65)/COUNT(L62:L65)</f>
        <v>0.11670173909857216</v>
      </c>
      <c r="M66" s="33" cm="1">
        <f t="array" ref="M66">SUM(M62:M65*M62:M65)/COUNT(M62:M65)</f>
        <v>1339.4880261522676</v>
      </c>
    </row>
    <row r="67" spans="2:13">
      <c r="C67" s="15" t="s">
        <v>58</v>
      </c>
      <c r="D67" s="33">
        <f>SQRT(D66)</f>
        <v>22438.374537274307</v>
      </c>
      <c r="E67" s="33">
        <f t="shared" ref="E67" si="67">SQRT(E66)</f>
        <v>16223.739894249105</v>
      </c>
      <c r="F67" s="33">
        <f t="shared" ref="F67" si="68">SQRT(F66)</f>
        <v>172.57244855422317</v>
      </c>
      <c r="G67" s="33">
        <f t="shared" ref="G67" si="69">SQRT(G66)</f>
        <v>39299.974073226178</v>
      </c>
      <c r="H67" s="33">
        <f t="shared" ref="H67" si="70">SQRT(H66)</f>
        <v>1179.1853649872016</v>
      </c>
      <c r="I67" s="33">
        <f t="shared" ref="I67" si="71">SQRT(I66)</f>
        <v>80.861795676326651</v>
      </c>
      <c r="J67" s="33">
        <f t="shared" ref="J67" si="72">SQRT(J66)</f>
        <v>22.999379348301172</v>
      </c>
      <c r="K67" s="33">
        <f t="shared" ref="K67" si="73">SQRT(K66)</f>
        <v>0.30228824781207886</v>
      </c>
      <c r="L67" s="33">
        <f t="shared" ref="L67" si="74">SQRT(L66)</f>
        <v>0.34161636245732163</v>
      </c>
      <c r="M67" s="33">
        <f t="shared" ref="M67" si="75">SQRT(M66)</f>
        <v>36.599016737506318</v>
      </c>
    </row>
    <row r="68" spans="2:13">
      <c r="D68" s="25"/>
      <c r="E68" s="25"/>
      <c r="F68" s="25"/>
      <c r="G68" s="25"/>
      <c r="H68" s="25"/>
      <c r="I68" s="25"/>
      <c r="J68" s="25"/>
      <c r="K68" s="25"/>
      <c r="L68" s="25"/>
      <c r="M68" s="25"/>
    </row>
    <row r="69" spans="2:13"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2:13">
      <c r="D70" s="25"/>
      <c r="E70" s="25"/>
      <c r="F70" s="27"/>
      <c r="G70" s="27"/>
      <c r="H70" s="25"/>
      <c r="I70" s="25"/>
      <c r="J70" s="25" t="s">
        <v>88</v>
      </c>
      <c r="K70" s="25"/>
      <c r="L70" s="25"/>
      <c r="M70" s="25"/>
    </row>
    <row r="71" spans="2:13">
      <c r="B71" t="s">
        <v>83</v>
      </c>
      <c r="C71" s="5" t="s">
        <v>5</v>
      </c>
      <c r="D71" s="28" t="s">
        <v>127</v>
      </c>
      <c r="E71" s="28" t="s">
        <v>7</v>
      </c>
      <c r="F71" s="29" t="s">
        <v>8</v>
      </c>
      <c r="G71" s="28" t="s">
        <v>128</v>
      </c>
      <c r="H71" s="28" t="s">
        <v>50</v>
      </c>
      <c r="I71" s="28" t="s">
        <v>60</v>
      </c>
      <c r="J71" s="28" t="s">
        <v>129</v>
      </c>
      <c r="K71" s="28" t="s">
        <v>62</v>
      </c>
      <c r="L71" s="25" t="s">
        <v>61</v>
      </c>
      <c r="M71" s="25" t="s">
        <v>151</v>
      </c>
    </row>
    <row r="72" spans="2:13">
      <c r="C72" t="s">
        <v>21</v>
      </c>
      <c r="D72" s="25">
        <f>SUM(月収!T118:T122)</f>
        <v>950</v>
      </c>
      <c r="E72" s="25">
        <f>SUM(月収!U118:U122)</f>
        <v>2830</v>
      </c>
      <c r="F72" s="25">
        <f>SUM(月収!V118:V122)</f>
        <v>6</v>
      </c>
      <c r="G72" s="25">
        <f>SUM(D72:E72)</f>
        <v>3780</v>
      </c>
      <c r="H72" s="25">
        <v>360</v>
      </c>
      <c r="I72" s="25">
        <v>16.8</v>
      </c>
      <c r="J72" s="25">
        <f>G72/ H72</f>
        <v>10.5</v>
      </c>
      <c r="K72" s="25">
        <f>D72/G72</f>
        <v>0.25132275132275134</v>
      </c>
      <c r="L72" s="25">
        <f>E72/G72</f>
        <v>0.74867724867724872</v>
      </c>
      <c r="M72" s="25">
        <f>G72/I72*100/1000</f>
        <v>22.5</v>
      </c>
    </row>
    <row r="73" spans="2:13">
      <c r="C73" t="s">
        <v>23</v>
      </c>
      <c r="D73" s="25">
        <f>SUM(月収!T109:T116)</f>
        <v>2611</v>
      </c>
      <c r="E73" s="25">
        <f>SUM(月収!U109:U116)</f>
        <v>9519</v>
      </c>
      <c r="F73" s="25">
        <f>SUM(月収!V109:V116)</f>
        <v>21</v>
      </c>
      <c r="G73" s="25">
        <f t="shared" ref="G73:G75" si="76">SUM(D73:E73)</f>
        <v>12130</v>
      </c>
      <c r="H73" s="25">
        <v>360</v>
      </c>
      <c r="I73" s="25">
        <v>17</v>
      </c>
      <c r="J73" s="25">
        <f t="shared" ref="J73:J75" si="77">G73/ H73</f>
        <v>33.694444444444443</v>
      </c>
      <c r="K73" s="25">
        <f t="shared" ref="K73:K75" si="78">D73/G73</f>
        <v>0.21525144270403956</v>
      </c>
      <c r="L73" s="25">
        <f t="shared" ref="L73:L75" si="79">E73/G73</f>
        <v>0.78474855729596038</v>
      </c>
      <c r="M73" s="25">
        <f t="shared" ref="M73:M75" si="80">G73/I73*100/1000</f>
        <v>71.352941176470594</v>
      </c>
    </row>
    <row r="74" spans="2:13">
      <c r="C74" t="s">
        <v>40</v>
      </c>
      <c r="D74" s="25">
        <f>SUM(月収!T97:T107)</f>
        <v>3990</v>
      </c>
      <c r="E74" s="25">
        <f>SUM(月収!U97:U107)</f>
        <v>10960</v>
      </c>
      <c r="F74" s="25">
        <f>SUM(月収!V97:V107)</f>
        <v>27</v>
      </c>
      <c r="G74" s="25">
        <f>SUM(D74:E74)</f>
        <v>14950</v>
      </c>
      <c r="H74" s="25">
        <v>700</v>
      </c>
      <c r="I74" s="25">
        <v>34</v>
      </c>
      <c r="J74" s="25">
        <f t="shared" si="77"/>
        <v>21.357142857142858</v>
      </c>
      <c r="K74" s="25">
        <f>D91/G74</f>
        <v>1.6193979933110367</v>
      </c>
      <c r="L74" s="25">
        <f t="shared" si="79"/>
        <v>0.73311036789297657</v>
      </c>
      <c r="M74" s="25">
        <f t="shared" si="80"/>
        <v>43.970588235294116</v>
      </c>
    </row>
    <row r="75" spans="2:13">
      <c r="C75" t="s">
        <v>25</v>
      </c>
      <c r="D75" s="25">
        <f>SUM(月収!T63:T95)</f>
        <v>14572</v>
      </c>
      <c r="E75" s="25">
        <f>SUM(月収!U63:U95)</f>
        <v>22650</v>
      </c>
      <c r="F75" s="25">
        <f>SUM(月収!V63:V95)</f>
        <v>104</v>
      </c>
      <c r="G75" s="25">
        <f t="shared" si="76"/>
        <v>37222</v>
      </c>
      <c r="H75" s="25">
        <f>H76-(H72+H73+H74)</f>
        <v>1830</v>
      </c>
      <c r="I75" s="25">
        <f>202-I72-I73-I74</f>
        <v>134.19999999999999</v>
      </c>
      <c r="J75" s="25">
        <f t="shared" si="77"/>
        <v>20.339890710382512</v>
      </c>
      <c r="K75" s="25">
        <f t="shared" si="78"/>
        <v>0.39148890441136963</v>
      </c>
      <c r="L75" s="25">
        <f t="shared" si="79"/>
        <v>0.60851109558863037</v>
      </c>
      <c r="M75" s="25">
        <f t="shared" si="80"/>
        <v>27.736214605067069</v>
      </c>
    </row>
    <row r="76" spans="2:13">
      <c r="C76" s="34" t="s">
        <v>56</v>
      </c>
      <c r="D76" s="35">
        <f>SUM(D72:D75)</f>
        <v>22123</v>
      </c>
      <c r="E76" s="35">
        <f t="shared" ref="E76:G76" si="81">SUM(E72:E75)</f>
        <v>45959</v>
      </c>
      <c r="F76" s="35">
        <f t="shared" si="81"/>
        <v>158</v>
      </c>
      <c r="G76" s="35">
        <f t="shared" si="81"/>
        <v>68082</v>
      </c>
      <c r="H76" s="35">
        <v>3250</v>
      </c>
      <c r="I76" s="35">
        <f>SUM(I72:I75)</f>
        <v>202</v>
      </c>
      <c r="J76" s="35"/>
      <c r="K76" s="35"/>
      <c r="L76" s="35"/>
      <c r="M76" s="35">
        <f>SUM(M72:M75)</f>
        <v>165.55974401683176</v>
      </c>
    </row>
    <row r="77" spans="2:13">
      <c r="C77" s="34" t="s">
        <v>57</v>
      </c>
      <c r="D77" s="35">
        <f>AVERAGE(D72:D75)</f>
        <v>5530.75</v>
      </c>
      <c r="E77" s="35">
        <f t="shared" ref="E77:M77" si="82">AVERAGE(E72:E75)</f>
        <v>11489.75</v>
      </c>
      <c r="F77" s="35">
        <f t="shared" si="82"/>
        <v>39.5</v>
      </c>
      <c r="G77" s="35">
        <f t="shared" si="82"/>
        <v>17020.5</v>
      </c>
      <c r="H77" s="35">
        <f t="shared" si="82"/>
        <v>812.5</v>
      </c>
      <c r="I77" s="35">
        <f t="shared" si="82"/>
        <v>50.5</v>
      </c>
      <c r="J77" s="35">
        <f t="shared" si="82"/>
        <v>21.472869502992452</v>
      </c>
      <c r="K77" s="35">
        <f t="shared" si="82"/>
        <v>0.61936527293729937</v>
      </c>
      <c r="L77" s="35">
        <f t="shared" si="82"/>
        <v>0.71876181736370404</v>
      </c>
      <c r="M77" s="35">
        <f t="shared" si="82"/>
        <v>41.389936004207939</v>
      </c>
    </row>
    <row r="78" spans="2:13">
      <c r="C78" s="34" t="s">
        <v>59</v>
      </c>
      <c r="D78" s="35">
        <f>MEDIAN(D72:D75)</f>
        <v>3300.5</v>
      </c>
      <c r="E78" s="35">
        <f t="shared" ref="E78:M78" si="83">MEDIAN(E72:E75)</f>
        <v>10239.5</v>
      </c>
      <c r="F78" s="35">
        <f t="shared" si="83"/>
        <v>24</v>
      </c>
      <c r="G78" s="35">
        <f t="shared" si="83"/>
        <v>13540</v>
      </c>
      <c r="H78" s="35">
        <f t="shared" si="83"/>
        <v>530</v>
      </c>
      <c r="I78" s="35">
        <f t="shared" si="83"/>
        <v>25.5</v>
      </c>
      <c r="J78" s="35">
        <f t="shared" si="83"/>
        <v>20.848516783762683</v>
      </c>
      <c r="K78" s="35">
        <f t="shared" si="83"/>
        <v>0.32140582786706051</v>
      </c>
      <c r="L78" s="35">
        <f t="shared" si="83"/>
        <v>0.74089380828511264</v>
      </c>
      <c r="M78" s="35">
        <f t="shared" si="83"/>
        <v>35.853401420180589</v>
      </c>
    </row>
    <row r="79" spans="2:13">
      <c r="B79" t="s">
        <v>87</v>
      </c>
      <c r="C79" s="15" t="s">
        <v>21</v>
      </c>
      <c r="D79" s="33">
        <f>D72-D77</f>
        <v>-4580.75</v>
      </c>
      <c r="E79" s="33">
        <f t="shared" ref="E79:M79" si="84">E72-E77</f>
        <v>-8659.75</v>
      </c>
      <c r="F79" s="33">
        <f t="shared" si="84"/>
        <v>-33.5</v>
      </c>
      <c r="G79" s="33">
        <f t="shared" si="84"/>
        <v>-13240.5</v>
      </c>
      <c r="H79" s="33">
        <f t="shared" si="84"/>
        <v>-452.5</v>
      </c>
      <c r="I79" s="33">
        <f t="shared" si="84"/>
        <v>-33.700000000000003</v>
      </c>
      <c r="J79" s="33">
        <f t="shared" si="84"/>
        <v>-10.972869502992452</v>
      </c>
      <c r="K79" s="33">
        <f t="shared" si="84"/>
        <v>-0.36804252161454803</v>
      </c>
      <c r="L79" s="33">
        <f t="shared" si="84"/>
        <v>2.9915431313544683E-2</v>
      </c>
      <c r="M79" s="33">
        <f t="shared" si="84"/>
        <v>-18.889936004207939</v>
      </c>
    </row>
    <row r="80" spans="2:13">
      <c r="C80" s="15" t="s">
        <v>23</v>
      </c>
      <c r="D80" s="33">
        <f t="shared" ref="D80:M80" si="85">D73-D78</f>
        <v>-689.5</v>
      </c>
      <c r="E80" s="33">
        <f t="shared" si="85"/>
        <v>-720.5</v>
      </c>
      <c r="F80" s="33">
        <f t="shared" si="85"/>
        <v>-3</v>
      </c>
      <c r="G80" s="33">
        <f t="shared" si="85"/>
        <v>-1410</v>
      </c>
      <c r="H80" s="33">
        <f t="shared" si="85"/>
        <v>-170</v>
      </c>
      <c r="I80" s="33">
        <f t="shared" si="85"/>
        <v>-8.5</v>
      </c>
      <c r="J80" s="33">
        <f t="shared" si="85"/>
        <v>12.84592766068176</v>
      </c>
      <c r="K80" s="33">
        <f t="shared" si="85"/>
        <v>-0.10615438516302095</v>
      </c>
      <c r="L80" s="33">
        <f t="shared" si="85"/>
        <v>4.3854749010847738E-2</v>
      </c>
      <c r="M80" s="33">
        <f t="shared" si="85"/>
        <v>35.499539756290005</v>
      </c>
    </row>
    <row r="81" spans="2:13">
      <c r="C81" s="15" t="s">
        <v>40</v>
      </c>
      <c r="D81" s="33">
        <f>D91-D79</f>
        <v>28790.75</v>
      </c>
      <c r="E81" s="33">
        <f t="shared" ref="E81:M81" si="86">E74-E79</f>
        <v>19619.75</v>
      </c>
      <c r="F81" s="33">
        <f t="shared" si="86"/>
        <v>60.5</v>
      </c>
      <c r="G81" s="33">
        <f t="shared" si="86"/>
        <v>28190.5</v>
      </c>
      <c r="H81" s="33">
        <f t="shared" si="86"/>
        <v>1152.5</v>
      </c>
      <c r="I81" s="33">
        <f t="shared" si="86"/>
        <v>67.7</v>
      </c>
      <c r="J81" s="33">
        <f t="shared" si="86"/>
        <v>32.330012360135314</v>
      </c>
      <c r="K81" s="33">
        <f t="shared" si="86"/>
        <v>1.9874405149255847</v>
      </c>
      <c r="L81" s="33">
        <f t="shared" si="86"/>
        <v>0.70319493657943188</v>
      </c>
      <c r="M81" s="33">
        <f t="shared" si="86"/>
        <v>62.860524239502055</v>
      </c>
    </row>
    <row r="82" spans="2:13">
      <c r="C82" s="15" t="s">
        <v>25</v>
      </c>
      <c r="D82" s="33">
        <f t="shared" ref="D82:M82" si="87">D75-D80</f>
        <v>15261.5</v>
      </c>
      <c r="E82" s="33">
        <f t="shared" si="87"/>
        <v>23370.5</v>
      </c>
      <c r="F82" s="33">
        <f t="shared" si="87"/>
        <v>107</v>
      </c>
      <c r="G82" s="33">
        <f t="shared" si="87"/>
        <v>38632</v>
      </c>
      <c r="H82" s="33">
        <f t="shared" si="87"/>
        <v>2000</v>
      </c>
      <c r="I82" s="33">
        <f t="shared" si="87"/>
        <v>142.69999999999999</v>
      </c>
      <c r="J82" s="33">
        <f t="shared" si="87"/>
        <v>7.4939630497007528</v>
      </c>
      <c r="K82" s="33">
        <f t="shared" si="87"/>
        <v>0.49764328957439058</v>
      </c>
      <c r="L82" s="33">
        <f t="shared" si="87"/>
        <v>0.56465634657778263</v>
      </c>
      <c r="M82" s="33">
        <f t="shared" si="87"/>
        <v>-7.7633251512229364</v>
      </c>
    </row>
    <row r="83" spans="2:13">
      <c r="C83" s="15" t="s">
        <v>89</v>
      </c>
      <c r="D83" s="33" cm="1">
        <f t="array" ref="D83">SUM(D79:D82*D79:D82)/COUNT(D79:D82)</f>
        <v>270819837.15625</v>
      </c>
      <c r="E83" s="33" cm="1">
        <f t="array" ref="E83">SUM(E79:E82*E79:E82)/COUNT(E79:E82)</f>
        <v>251656312.65625</v>
      </c>
      <c r="F83" s="33" cm="1">
        <f t="array" ref="F83">SUM(F79:F82*F79:F82)/COUNT(F79:F82)</f>
        <v>4060.125</v>
      </c>
      <c r="G83" s="33" cm="1">
        <f t="array" ref="G83">SUM(G79:G82*G79:G82)/COUNT(G79:G82)</f>
        <v>616108663.625</v>
      </c>
      <c r="H83" s="33" cm="1">
        <f t="array" ref="H83">SUM(H79:H82*H79:H82)/COUNT(H79:H82)</f>
        <v>1390478.125</v>
      </c>
      <c r="I83" s="33" cm="1">
        <f t="array" ref="I83">SUM(I79:I82*I79:I82)/COUNT(I79:I82)</f>
        <v>6538.6299999999992</v>
      </c>
      <c r="J83" s="33" cm="1">
        <f t="array" ref="J83">SUM(J79:J82*J79:J82)/COUNT(J79:J82)</f>
        <v>346.70272599748824</v>
      </c>
      <c r="K83" s="33" cm="1">
        <f t="array" ref="K83">SUM(K79:K82*K79:K82)/COUNT(K79:K82)</f>
        <v>1.086073173807957</v>
      </c>
      <c r="L83" s="33" cm="1">
        <f t="array" ref="L83">SUM(L79:L82*L79:L82)/COUNT(L79:L82)</f>
        <v>0.20403452015075002</v>
      </c>
      <c r="M83" s="33" cm="1">
        <f t="array" ref="M83">SUM(M79:M82*M79:M82)/COUNT(M79:M82)</f>
        <v>1407.1904325550306</v>
      </c>
    </row>
    <row r="84" spans="2:13">
      <c r="C84" s="15" t="s">
        <v>58</v>
      </c>
      <c r="D84" s="33">
        <f>SQRT(D83)</f>
        <v>16456.604666706011</v>
      </c>
      <c r="E84" s="33">
        <f t="shared" ref="E84" si="88">SQRT(E83)</f>
        <v>15863.679039121096</v>
      </c>
      <c r="F84" s="33">
        <f t="shared" ref="F84" si="89">SQRT(F83)</f>
        <v>63.71911016327833</v>
      </c>
      <c r="G84" s="33">
        <f t="shared" ref="G84" si="90">SQRT(G83)</f>
        <v>24821.536286559702</v>
      </c>
      <c r="H84" s="33">
        <f t="shared" ref="H84" si="91">SQRT(H83)</f>
        <v>1179.1853649872016</v>
      </c>
      <c r="I84" s="33">
        <f t="shared" ref="I84" si="92">SQRT(I83)</f>
        <v>80.861795676326651</v>
      </c>
      <c r="J84" s="33">
        <f t="shared" ref="J84" si="93">SQRT(J83)</f>
        <v>18.619955048213416</v>
      </c>
      <c r="K84" s="33">
        <f t="shared" ref="K84" si="94">SQRT(K83)</f>
        <v>1.0421483453942424</v>
      </c>
      <c r="L84" s="33">
        <f t="shared" ref="L84" si="95">SQRT(L83)</f>
        <v>0.45170180445815139</v>
      </c>
      <c r="M84" s="33">
        <f t="shared" ref="M84" si="96">SQRT(M83)</f>
        <v>37.512537005047136</v>
      </c>
    </row>
    <row r="85" spans="2:13"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2:13"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7" spans="2:13">
      <c r="D87" s="25"/>
      <c r="E87" s="25"/>
      <c r="F87" s="27"/>
      <c r="G87" s="27"/>
      <c r="H87" s="25"/>
      <c r="I87" s="25"/>
      <c r="J87" s="25" t="s">
        <v>88</v>
      </c>
      <c r="K87" s="25"/>
      <c r="L87" s="25"/>
      <c r="M87" s="25"/>
    </row>
    <row r="88" spans="2:13">
      <c r="B88" t="s">
        <v>84</v>
      </c>
      <c r="C88" s="5" t="s">
        <v>5</v>
      </c>
      <c r="D88" s="28" t="s">
        <v>127</v>
      </c>
      <c r="E88" s="28" t="s">
        <v>7</v>
      </c>
      <c r="F88" s="29" t="s">
        <v>8</v>
      </c>
      <c r="G88" s="28" t="s">
        <v>128</v>
      </c>
      <c r="H88" s="28" t="s">
        <v>50</v>
      </c>
      <c r="I88" s="28" t="s">
        <v>60</v>
      </c>
      <c r="J88" s="28" t="s">
        <v>129</v>
      </c>
      <c r="K88" s="28" t="s">
        <v>62</v>
      </c>
      <c r="L88" s="25" t="s">
        <v>61</v>
      </c>
      <c r="M88" s="25" t="s">
        <v>151</v>
      </c>
    </row>
    <row r="89" spans="2:13">
      <c r="C89" t="s">
        <v>21</v>
      </c>
      <c r="D89" s="25">
        <f>SUM(月収!Z154:Z163)</f>
        <v>11430</v>
      </c>
      <c r="E89" s="25">
        <f>SUM(月収!AA154:AA163)</f>
        <v>5640</v>
      </c>
      <c r="F89" s="25">
        <f>SUM(月収!AB154:AB163)</f>
        <v>97</v>
      </c>
      <c r="G89" s="25">
        <f>SUM(D89:E89)</f>
        <v>17070</v>
      </c>
      <c r="H89" s="25">
        <v>360</v>
      </c>
      <c r="I89" s="25">
        <v>16.8</v>
      </c>
      <c r="J89" s="25">
        <f>G89/ H89</f>
        <v>47.416666666666664</v>
      </c>
      <c r="K89" s="25">
        <f>D89/G89</f>
        <v>0.66959578207381376</v>
      </c>
      <c r="L89" s="25">
        <f>E89/G89</f>
        <v>0.33040421792618629</v>
      </c>
      <c r="M89" s="25">
        <f>G89/I89*100/1000</f>
        <v>101.60714285714286</v>
      </c>
    </row>
    <row r="90" spans="2:13">
      <c r="C90" t="s">
        <v>23</v>
      </c>
      <c r="D90" s="25">
        <f>SUM(月収!Z145:Z152)</f>
        <v>5390</v>
      </c>
      <c r="E90" s="25">
        <f>SUM(月収!AA145:AA152)</f>
        <v>2620</v>
      </c>
      <c r="F90" s="25">
        <f>SUM(月収!AB145:AB152)</f>
        <v>55</v>
      </c>
      <c r="G90" s="25">
        <f t="shared" ref="G90:G92" si="97">SUM(D90:E90)</f>
        <v>8010</v>
      </c>
      <c r="H90" s="25">
        <v>360</v>
      </c>
      <c r="I90" s="25">
        <v>17</v>
      </c>
      <c r="J90" s="25">
        <f t="shared" ref="J90:J92" si="98">G90/ H90</f>
        <v>22.25</v>
      </c>
      <c r="K90" s="25">
        <f t="shared" ref="K90:K92" si="99">D90/G90</f>
        <v>0.67290886392009985</v>
      </c>
      <c r="L90" s="25">
        <f t="shared" ref="L90:L92" si="100">E90/G90</f>
        <v>0.32709113607990015</v>
      </c>
      <c r="M90" s="25">
        <f t="shared" ref="M90:M92" si="101">G90/I90*100/1000</f>
        <v>47.117647058823529</v>
      </c>
    </row>
    <row r="91" spans="2:13">
      <c r="C91" t="s">
        <v>40</v>
      </c>
      <c r="D91" s="25">
        <f>SUM(月収!Z124:Z143)</f>
        <v>24210</v>
      </c>
      <c r="E91" s="25">
        <f>SUM(月収!AA124:AA143)</f>
        <v>12570</v>
      </c>
      <c r="F91" s="25">
        <f>SUM(月収!AB124:AB143)</f>
        <v>203</v>
      </c>
      <c r="G91" s="25">
        <f>SUM(D91:E91)</f>
        <v>36780</v>
      </c>
      <c r="H91" s="25">
        <v>700</v>
      </c>
      <c r="I91" s="25">
        <v>34</v>
      </c>
      <c r="J91" s="25">
        <f t="shared" si="98"/>
        <v>52.542857142857144</v>
      </c>
      <c r="K91" s="25" t="e">
        <f>#REF!/G91</f>
        <v>#REF!</v>
      </c>
      <c r="L91" s="25">
        <f t="shared" si="100"/>
        <v>0.34176182707993474</v>
      </c>
      <c r="M91" s="25">
        <f t="shared" si="101"/>
        <v>108.17647058823529</v>
      </c>
    </row>
    <row r="92" spans="2:13">
      <c r="C92" t="s">
        <v>25</v>
      </c>
      <c r="D92" s="25">
        <f>SUM(月収!Z82:Z122)</f>
        <v>15910</v>
      </c>
      <c r="E92" s="25">
        <f>SUM(月収!AA82:AA122)</f>
        <v>16940</v>
      </c>
      <c r="F92" s="25">
        <f>SUM(月収!AB82:AB122)</f>
        <v>154</v>
      </c>
      <c r="G92" s="25">
        <f t="shared" si="97"/>
        <v>32850</v>
      </c>
      <c r="H92" s="25">
        <f>H93-(H89+H90+H91)</f>
        <v>1830</v>
      </c>
      <c r="I92" s="25">
        <f>202-I89-I90-I91</f>
        <v>134.19999999999999</v>
      </c>
      <c r="J92" s="25">
        <f t="shared" si="98"/>
        <v>17.950819672131146</v>
      </c>
      <c r="K92" s="25">
        <f t="shared" si="99"/>
        <v>0.48432267884322677</v>
      </c>
      <c r="L92" s="25">
        <f t="shared" si="100"/>
        <v>0.51567732115677323</v>
      </c>
      <c r="M92" s="25">
        <f t="shared" si="101"/>
        <v>24.478390461997019</v>
      </c>
    </row>
    <row r="93" spans="2:13">
      <c r="C93" s="34" t="s">
        <v>56</v>
      </c>
      <c r="D93" s="35">
        <f>SUM(D89:D92)</f>
        <v>56940</v>
      </c>
      <c r="E93" s="35">
        <f t="shared" ref="E93:G93" si="102">SUM(E89:E92)</f>
        <v>37770</v>
      </c>
      <c r="F93" s="35">
        <f t="shared" si="102"/>
        <v>509</v>
      </c>
      <c r="G93" s="35">
        <f t="shared" si="102"/>
        <v>94710</v>
      </c>
      <c r="H93" s="35">
        <v>3250</v>
      </c>
      <c r="I93" s="35">
        <f>SUM(I89:I92)</f>
        <v>202</v>
      </c>
      <c r="J93" s="35"/>
      <c r="K93" s="35"/>
      <c r="L93" s="35"/>
      <c r="M93" s="35">
        <f>SUM(M89:M92)</f>
        <v>281.37965096619871</v>
      </c>
    </row>
    <row r="94" spans="2:13">
      <c r="C94" s="34" t="s">
        <v>57</v>
      </c>
      <c r="D94" s="35">
        <f>AVERAGE(D89:D92)</f>
        <v>14235</v>
      </c>
      <c r="E94" s="35">
        <f t="shared" ref="E94:M94" si="103">AVERAGE(E89:E92)</f>
        <v>9442.5</v>
      </c>
      <c r="F94" s="35">
        <f t="shared" si="103"/>
        <v>127.25</v>
      </c>
      <c r="G94" s="35">
        <f t="shared" si="103"/>
        <v>23677.5</v>
      </c>
      <c r="H94" s="35">
        <f t="shared" si="103"/>
        <v>812.5</v>
      </c>
      <c r="I94" s="35">
        <f t="shared" si="103"/>
        <v>50.5</v>
      </c>
      <c r="J94" s="35">
        <f t="shared" si="103"/>
        <v>35.040085870413733</v>
      </c>
      <c r="K94" s="35" t="e">
        <f t="shared" si="103"/>
        <v>#REF!</v>
      </c>
      <c r="L94" s="35">
        <f t="shared" si="103"/>
        <v>0.37873362556069856</v>
      </c>
      <c r="M94" s="35">
        <f t="shared" si="103"/>
        <v>70.344912741549678</v>
      </c>
    </row>
    <row r="95" spans="2:13">
      <c r="C95" s="34" t="s">
        <v>59</v>
      </c>
      <c r="D95" s="35">
        <f>MEDIAN(D89:D92)</f>
        <v>13670</v>
      </c>
      <c r="E95" s="35">
        <f t="shared" ref="E95:M95" si="104">MEDIAN(E89:E92)</f>
        <v>9105</v>
      </c>
      <c r="F95" s="35">
        <f t="shared" si="104"/>
        <v>125.5</v>
      </c>
      <c r="G95" s="35">
        <f t="shared" si="104"/>
        <v>24960</v>
      </c>
      <c r="H95" s="35">
        <f t="shared" si="104"/>
        <v>530</v>
      </c>
      <c r="I95" s="35">
        <f t="shared" si="104"/>
        <v>25.5</v>
      </c>
      <c r="J95" s="35">
        <f t="shared" si="104"/>
        <v>34.833333333333329</v>
      </c>
      <c r="K95" s="35" t="e">
        <f t="shared" si="104"/>
        <v>#REF!</v>
      </c>
      <c r="L95" s="35">
        <f t="shared" si="104"/>
        <v>0.33608302250306055</v>
      </c>
      <c r="M95" s="35">
        <f t="shared" si="104"/>
        <v>74.362394957983199</v>
      </c>
    </row>
    <row r="96" spans="2:13">
      <c r="B96" t="s">
        <v>87</v>
      </c>
      <c r="C96" s="15" t="s">
        <v>21</v>
      </c>
      <c r="D96" s="33">
        <f>D89-D94</f>
        <v>-2805</v>
      </c>
      <c r="E96" s="33">
        <f t="shared" ref="E96:M96" si="105">E89-E94</f>
        <v>-3802.5</v>
      </c>
      <c r="F96" s="33">
        <f t="shared" si="105"/>
        <v>-30.25</v>
      </c>
      <c r="G96" s="33">
        <f t="shared" si="105"/>
        <v>-6607.5</v>
      </c>
      <c r="H96" s="33">
        <f t="shared" si="105"/>
        <v>-452.5</v>
      </c>
      <c r="I96" s="33">
        <f t="shared" si="105"/>
        <v>-33.700000000000003</v>
      </c>
      <c r="J96" s="33">
        <f t="shared" si="105"/>
        <v>12.376580796252931</v>
      </c>
      <c r="K96" s="33" t="e">
        <f t="shared" si="105"/>
        <v>#REF!</v>
      </c>
      <c r="L96" s="33">
        <f t="shared" si="105"/>
        <v>-4.8329407634512267E-2</v>
      </c>
      <c r="M96" s="33">
        <f t="shared" si="105"/>
        <v>31.262230115593184</v>
      </c>
    </row>
    <row r="97" spans="2:13">
      <c r="C97" s="15" t="s">
        <v>23</v>
      </c>
      <c r="D97" s="33">
        <f t="shared" ref="D97:M97" si="106">D90-D95</f>
        <v>-8280</v>
      </c>
      <c r="E97" s="33">
        <f t="shared" si="106"/>
        <v>-6485</v>
      </c>
      <c r="F97" s="33">
        <f t="shared" si="106"/>
        <v>-70.5</v>
      </c>
      <c r="G97" s="33">
        <f t="shared" si="106"/>
        <v>-16950</v>
      </c>
      <c r="H97" s="33">
        <f t="shared" si="106"/>
        <v>-170</v>
      </c>
      <c r="I97" s="33">
        <f t="shared" si="106"/>
        <v>-8.5</v>
      </c>
      <c r="J97" s="33">
        <f t="shared" si="106"/>
        <v>-12.583333333333329</v>
      </c>
      <c r="K97" s="33" t="e">
        <f t="shared" si="106"/>
        <v>#REF!</v>
      </c>
      <c r="L97" s="33">
        <f t="shared" si="106"/>
        <v>-8.9918864231604001E-3</v>
      </c>
      <c r="M97" s="33">
        <f t="shared" si="106"/>
        <v>-27.24474789915967</v>
      </c>
    </row>
    <row r="98" spans="2:13">
      <c r="C98" s="15" t="s">
        <v>40</v>
      </c>
      <c r="D98" s="33" t="e">
        <f>#REF!-D96</f>
        <v>#REF!</v>
      </c>
      <c r="E98" s="33">
        <f t="shared" ref="E98:M98" si="107">E91-E96</f>
        <v>16372.5</v>
      </c>
      <c r="F98" s="33">
        <f t="shared" si="107"/>
        <v>233.25</v>
      </c>
      <c r="G98" s="33">
        <f t="shared" si="107"/>
        <v>43387.5</v>
      </c>
      <c r="H98" s="33">
        <f t="shared" si="107"/>
        <v>1152.5</v>
      </c>
      <c r="I98" s="33">
        <f t="shared" si="107"/>
        <v>67.7</v>
      </c>
      <c r="J98" s="33">
        <f t="shared" si="107"/>
        <v>40.166276346604214</v>
      </c>
      <c r="K98" s="33" t="e">
        <f t="shared" si="107"/>
        <v>#REF!</v>
      </c>
      <c r="L98" s="33">
        <f t="shared" si="107"/>
        <v>0.39009123471444701</v>
      </c>
      <c r="M98" s="33">
        <f t="shared" si="107"/>
        <v>76.914240472642106</v>
      </c>
    </row>
    <row r="99" spans="2:13">
      <c r="C99" s="15" t="s">
        <v>25</v>
      </c>
      <c r="D99" s="33">
        <f t="shared" ref="D99:M99" si="108">D92-D97</f>
        <v>24190</v>
      </c>
      <c r="E99" s="33">
        <f t="shared" si="108"/>
        <v>23425</v>
      </c>
      <c r="F99" s="33">
        <f t="shared" si="108"/>
        <v>224.5</v>
      </c>
      <c r="G99" s="33">
        <f t="shared" si="108"/>
        <v>49800</v>
      </c>
      <c r="H99" s="33">
        <f t="shared" si="108"/>
        <v>2000</v>
      </c>
      <c r="I99" s="33">
        <f t="shared" si="108"/>
        <v>142.69999999999999</v>
      </c>
      <c r="J99" s="33">
        <f t="shared" si="108"/>
        <v>30.534153005464475</v>
      </c>
      <c r="K99" s="33" t="e">
        <f t="shared" si="108"/>
        <v>#REF!</v>
      </c>
      <c r="L99" s="33">
        <f t="shared" si="108"/>
        <v>0.52466920757993363</v>
      </c>
      <c r="M99" s="33">
        <f t="shared" si="108"/>
        <v>51.723138361156686</v>
      </c>
    </row>
    <row r="100" spans="2:13">
      <c r="C100" s="15" t="s">
        <v>89</v>
      </c>
      <c r="D100" s="33" t="e" cm="1">
        <f t="array" ref="D100">SUM(D96:D99*D96:D99)/COUNT(D96:D99)</f>
        <v>#REF!</v>
      </c>
      <c r="E100" s="33" cm="1">
        <f t="array" ref="E100">SUM(E96:E99*E96:E99)/COUNT(E96:E99)</f>
        <v>218325903.125</v>
      </c>
      <c r="F100" s="33" cm="1">
        <f t="array" ref="F100">SUM(F96:F99*F96:F99)/COUNT(F96:F99)</f>
        <v>27672.78125</v>
      </c>
      <c r="G100" s="33" cm="1">
        <f t="array" ref="G100">SUM(G96:G99*G96:G99)/COUNT(G96:G99)</f>
        <v>1173369178.125</v>
      </c>
      <c r="H100" s="33" cm="1">
        <f t="array" ref="H100">SUM(H96:H99*H96:H99)/COUNT(H96:H99)</f>
        <v>1390478.125</v>
      </c>
      <c r="I100" s="33" cm="1">
        <f t="array" ref="I100">SUM(I96:I99*I96:I99)/COUNT(I96:I99)</f>
        <v>6538.6299999999992</v>
      </c>
      <c r="J100" s="33" cm="1">
        <f t="array" ref="J100">SUM(J96:J99*J96:J99)/COUNT(J96:J99)</f>
        <v>714.29607132421177</v>
      </c>
      <c r="K100" s="33" t="e" cm="1">
        <f t="array" ref="K100">SUM(K96:K99*K96:K99)/COUNT(K96:K99)</f>
        <v>#REF!</v>
      </c>
      <c r="L100" s="33" cm="1">
        <f t="array" ref="L100">SUM(L96:L99*L96:L99)/COUNT(L96:L99)</f>
        <v>0.10746638361183677</v>
      </c>
      <c r="M100" s="33" cm="1">
        <f t="array" ref="M100">SUM(M96:M99*M96:M99)/COUNT(M96:M99)</f>
        <v>2577.6716873249602</v>
      </c>
    </row>
    <row r="101" spans="2:13">
      <c r="C101" s="15" t="s">
        <v>58</v>
      </c>
      <c r="D101" s="33" t="e">
        <f>SQRT(D100)</f>
        <v>#REF!</v>
      </c>
      <c r="E101" s="33">
        <f t="shared" ref="E101" si="109">SQRT(E100)</f>
        <v>14775.855410939836</v>
      </c>
      <c r="F101" s="33">
        <f t="shared" ref="F101" si="110">SQRT(F100)</f>
        <v>166.35137886413807</v>
      </c>
      <c r="G101" s="33">
        <f t="shared" ref="G101" si="111">SQRT(G100)</f>
        <v>34254.476760344769</v>
      </c>
      <c r="H101" s="33">
        <f t="shared" ref="H101" si="112">SQRT(H100)</f>
        <v>1179.1853649872016</v>
      </c>
      <c r="I101" s="33">
        <f t="shared" ref="I101" si="113">SQRT(I100)</f>
        <v>80.861795676326651</v>
      </c>
      <c r="J101" s="33">
        <f t="shared" ref="J101" si="114">SQRT(J100)</f>
        <v>26.726317952988058</v>
      </c>
      <c r="K101" s="33" t="e">
        <f t="shared" ref="K101" si="115">SQRT(K100)</f>
        <v>#REF!</v>
      </c>
      <c r="L101" s="33">
        <f t="shared" ref="L101" si="116">SQRT(L100)</f>
        <v>0.32782065769538804</v>
      </c>
      <c r="M101" s="33">
        <f t="shared" ref="M101" si="117">SQRT(M100)</f>
        <v>50.770775918090521</v>
      </c>
    </row>
    <row r="102" spans="2:13">
      <c r="D102" s="25"/>
      <c r="E102" s="25"/>
      <c r="F102" s="25"/>
      <c r="G102" s="25"/>
      <c r="H102" s="25"/>
      <c r="I102" s="25"/>
      <c r="J102" s="25"/>
      <c r="K102" s="25"/>
      <c r="L102" s="25"/>
      <c r="M102" s="25"/>
    </row>
    <row r="103" spans="2:13"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2:13">
      <c r="D104" s="25"/>
      <c r="E104" s="25"/>
      <c r="F104" s="27"/>
      <c r="G104" s="27"/>
      <c r="H104" s="25"/>
      <c r="I104" s="25"/>
      <c r="J104" s="25" t="s">
        <v>88</v>
      </c>
      <c r="K104" s="25"/>
      <c r="L104" s="25"/>
      <c r="M104" s="25"/>
    </row>
    <row r="105" spans="2:13">
      <c r="B105" t="s">
        <v>85</v>
      </c>
      <c r="C105" s="5" t="s">
        <v>5</v>
      </c>
      <c r="D105" s="28" t="s">
        <v>127</v>
      </c>
      <c r="E105" s="28" t="s">
        <v>7</v>
      </c>
      <c r="F105" s="29" t="s">
        <v>8</v>
      </c>
      <c r="G105" s="28" t="s">
        <v>128</v>
      </c>
      <c r="H105" s="28" t="s">
        <v>50</v>
      </c>
      <c r="I105" s="28" t="s">
        <v>60</v>
      </c>
      <c r="J105" s="28" t="s">
        <v>129</v>
      </c>
      <c r="K105" s="28" t="s">
        <v>62</v>
      </c>
      <c r="L105" s="25" t="s">
        <v>61</v>
      </c>
      <c r="M105" s="25" t="s">
        <v>151</v>
      </c>
    </row>
    <row r="106" spans="2:13">
      <c r="C106" t="s">
        <v>21</v>
      </c>
      <c r="D106" s="25">
        <f>SUM(月収!AF179:AF187)</f>
        <v>6680</v>
      </c>
      <c r="E106" s="25">
        <f>SUM(月収!AG179:AG187)</f>
        <v>10890</v>
      </c>
      <c r="F106" s="25">
        <f>SUM(月収!AH179:AH187)</f>
        <v>54</v>
      </c>
      <c r="G106" s="25">
        <f>SUM(D106:E106)</f>
        <v>17570</v>
      </c>
      <c r="H106" s="25">
        <v>360</v>
      </c>
      <c r="I106" s="25">
        <v>16.8</v>
      </c>
      <c r="J106" s="25">
        <f>G106/ H106</f>
        <v>48.805555555555557</v>
      </c>
      <c r="K106" s="25">
        <f>D106/G106</f>
        <v>0.38019351166761528</v>
      </c>
      <c r="L106" s="25">
        <f>E106/G106</f>
        <v>0.61980648833238472</v>
      </c>
      <c r="M106" s="25">
        <f>G106/I106*100/1000</f>
        <v>104.58333333333333</v>
      </c>
    </row>
    <row r="107" spans="2:13">
      <c r="C107" t="s">
        <v>23</v>
      </c>
      <c r="D107" s="25">
        <f>SUM(月収!AF168:AF177)</f>
        <v>11670</v>
      </c>
      <c r="E107" s="25">
        <f>SUM(月収!AG168:AG177)</f>
        <v>18470</v>
      </c>
      <c r="F107" s="25">
        <f>SUM(月収!AH168:AH177)</f>
        <v>97</v>
      </c>
      <c r="G107" s="25">
        <f t="shared" ref="G107:G109" si="118">SUM(D107:E107)</f>
        <v>30140</v>
      </c>
      <c r="H107" s="25">
        <v>360</v>
      </c>
      <c r="I107" s="25">
        <v>17</v>
      </c>
      <c r="J107" s="25">
        <f t="shared" ref="J107:J109" si="119">G107/ H107</f>
        <v>83.722222222222229</v>
      </c>
      <c r="K107" s="25">
        <f t="shared" ref="K107:K109" si="120">D107/G107</f>
        <v>0.38719309887193099</v>
      </c>
      <c r="L107" s="25">
        <f t="shared" ref="L107:L109" si="121">E107/G107</f>
        <v>0.61280690112806901</v>
      </c>
      <c r="M107" s="25">
        <f t="shared" ref="M107:M109" si="122">G107/I107*100/1000</f>
        <v>177.29411764705881</v>
      </c>
    </row>
    <row r="108" spans="2:13">
      <c r="C108" t="s">
        <v>40</v>
      </c>
      <c r="D108" s="25">
        <f>SUM(月収!AF147:AF166)</f>
        <v>20780</v>
      </c>
      <c r="E108" s="25">
        <f>SUM(月収!AG147:AG166)</f>
        <v>9670</v>
      </c>
      <c r="F108" s="25">
        <f>SUM(月収!AH147:AH166)</f>
        <v>177</v>
      </c>
      <c r="G108" s="25">
        <f t="shared" si="118"/>
        <v>30450</v>
      </c>
      <c r="H108" s="25">
        <v>700</v>
      </c>
      <c r="I108" s="25">
        <v>34</v>
      </c>
      <c r="J108" s="25">
        <f t="shared" si="119"/>
        <v>43.5</v>
      </c>
      <c r="K108" s="25">
        <f t="shared" si="120"/>
        <v>0.68243021346469623</v>
      </c>
      <c r="L108" s="25">
        <f t="shared" si="121"/>
        <v>0.31756978653530377</v>
      </c>
      <c r="M108" s="25">
        <f t="shared" si="122"/>
        <v>89.558823529411768</v>
      </c>
    </row>
    <row r="109" spans="2:13">
      <c r="C109" t="s">
        <v>25</v>
      </c>
      <c r="D109" s="25">
        <f>SUM(月収!AF94:AF145)</f>
        <v>35770</v>
      </c>
      <c r="E109" s="25">
        <f>SUM(月収!AG94:AG145)</f>
        <v>39630</v>
      </c>
      <c r="F109" s="25">
        <f>SUM(月収!AH94:AH145)</f>
        <v>280</v>
      </c>
      <c r="G109" s="25">
        <f t="shared" si="118"/>
        <v>75400</v>
      </c>
      <c r="H109" s="25">
        <f>H110-(H106+H107+H108)</f>
        <v>1830</v>
      </c>
      <c r="I109" s="25">
        <f>202-I106-I107-I108</f>
        <v>134.19999999999999</v>
      </c>
      <c r="J109" s="25">
        <f t="shared" si="119"/>
        <v>41.202185792349724</v>
      </c>
      <c r="K109" s="25">
        <f t="shared" si="120"/>
        <v>0.47440318302387269</v>
      </c>
      <c r="L109" s="25">
        <f t="shared" si="121"/>
        <v>0.52559681697612737</v>
      </c>
      <c r="M109" s="25">
        <f t="shared" si="122"/>
        <v>56.184798807749637</v>
      </c>
    </row>
    <row r="110" spans="2:13">
      <c r="C110" s="34" t="s">
        <v>56</v>
      </c>
      <c r="D110" s="35">
        <f>SUM(D106:D109)</f>
        <v>74900</v>
      </c>
      <c r="E110" s="35">
        <f t="shared" ref="E110:G110" si="123">SUM(E106:E109)</f>
        <v>78660</v>
      </c>
      <c r="F110" s="35">
        <f t="shared" si="123"/>
        <v>608</v>
      </c>
      <c r="G110" s="35">
        <f t="shared" si="123"/>
        <v>153560</v>
      </c>
      <c r="H110" s="35">
        <v>3250</v>
      </c>
      <c r="I110" s="35">
        <f>SUM(I106:I109)</f>
        <v>202</v>
      </c>
      <c r="J110" s="35"/>
      <c r="K110" s="35"/>
      <c r="L110" s="35"/>
      <c r="M110" s="35">
        <f>SUM(M106:M109)</f>
        <v>427.62107331755357</v>
      </c>
    </row>
    <row r="111" spans="2:13">
      <c r="C111" s="34" t="s">
        <v>57</v>
      </c>
      <c r="D111" s="35">
        <f>AVERAGE(D106:D109)</f>
        <v>18725</v>
      </c>
      <c r="E111" s="35">
        <f t="shared" ref="E111:M111" si="124">AVERAGE(E106:E109)</f>
        <v>19665</v>
      </c>
      <c r="F111" s="35">
        <f t="shared" si="124"/>
        <v>152</v>
      </c>
      <c r="G111" s="35">
        <f t="shared" si="124"/>
        <v>38390</v>
      </c>
      <c r="H111" s="35">
        <f t="shared" si="124"/>
        <v>812.5</v>
      </c>
      <c r="I111" s="35">
        <f t="shared" si="124"/>
        <v>50.5</v>
      </c>
      <c r="J111" s="35">
        <f t="shared" si="124"/>
        <v>54.307490892531874</v>
      </c>
      <c r="K111" s="35">
        <f t="shared" si="124"/>
        <v>0.48105500175702876</v>
      </c>
      <c r="L111" s="35">
        <f t="shared" si="124"/>
        <v>0.51894499824297124</v>
      </c>
      <c r="M111" s="35">
        <f t="shared" si="124"/>
        <v>106.90526832938839</v>
      </c>
    </row>
    <row r="112" spans="2:13">
      <c r="C112" s="34" t="s">
        <v>59</v>
      </c>
      <c r="D112" s="35">
        <f>MEDIAN(D106:D109)</f>
        <v>16225</v>
      </c>
      <c r="E112" s="35">
        <f t="shared" ref="E112:M112" si="125">MEDIAN(E106:E109)</f>
        <v>14680</v>
      </c>
      <c r="F112" s="35">
        <f t="shared" si="125"/>
        <v>137</v>
      </c>
      <c r="G112" s="35">
        <f t="shared" si="125"/>
        <v>30295</v>
      </c>
      <c r="H112" s="35">
        <f t="shared" si="125"/>
        <v>530</v>
      </c>
      <c r="I112" s="35">
        <f t="shared" si="125"/>
        <v>25.5</v>
      </c>
      <c r="J112" s="35">
        <f t="shared" si="125"/>
        <v>46.152777777777779</v>
      </c>
      <c r="K112" s="35">
        <f t="shared" si="125"/>
        <v>0.43079814094790181</v>
      </c>
      <c r="L112" s="35">
        <f t="shared" si="125"/>
        <v>0.56920185905209819</v>
      </c>
      <c r="M112" s="35">
        <f t="shared" si="125"/>
        <v>97.071078431372541</v>
      </c>
    </row>
    <row r="113" spans="2:13">
      <c r="B113" t="s">
        <v>87</v>
      </c>
      <c r="C113" s="15" t="s">
        <v>21</v>
      </c>
      <c r="D113" s="33">
        <f>D106-D111</f>
        <v>-12045</v>
      </c>
      <c r="E113" s="33">
        <f t="shared" ref="E113:M113" si="126">E106-E111</f>
        <v>-8775</v>
      </c>
      <c r="F113" s="33">
        <f t="shared" si="126"/>
        <v>-98</v>
      </c>
      <c r="G113" s="33">
        <f t="shared" si="126"/>
        <v>-20820</v>
      </c>
      <c r="H113" s="33">
        <f t="shared" si="126"/>
        <v>-452.5</v>
      </c>
      <c r="I113" s="33">
        <f t="shared" si="126"/>
        <v>-33.700000000000003</v>
      </c>
      <c r="J113" s="33">
        <f t="shared" si="126"/>
        <v>-5.5019353369763166</v>
      </c>
      <c r="K113" s="33">
        <f t="shared" si="126"/>
        <v>-0.10086149008941347</v>
      </c>
      <c r="L113" s="33">
        <f t="shared" si="126"/>
        <v>0.10086149008941347</v>
      </c>
      <c r="M113" s="33">
        <f t="shared" si="126"/>
        <v>-2.321934996055063</v>
      </c>
    </row>
    <row r="114" spans="2:13">
      <c r="C114" s="15" t="s">
        <v>23</v>
      </c>
      <c r="D114" s="33">
        <f t="shared" ref="D114:M114" si="127">D107-D112</f>
        <v>-4555</v>
      </c>
      <c r="E114" s="33">
        <f t="shared" si="127"/>
        <v>3790</v>
      </c>
      <c r="F114" s="33">
        <f t="shared" si="127"/>
        <v>-40</v>
      </c>
      <c r="G114" s="33">
        <f t="shared" si="127"/>
        <v>-155</v>
      </c>
      <c r="H114" s="33">
        <f t="shared" si="127"/>
        <v>-170</v>
      </c>
      <c r="I114" s="33">
        <f t="shared" si="127"/>
        <v>-8.5</v>
      </c>
      <c r="J114" s="33">
        <f t="shared" si="127"/>
        <v>37.56944444444445</v>
      </c>
      <c r="K114" s="33">
        <f t="shared" si="127"/>
        <v>-4.3605042075970823E-2</v>
      </c>
      <c r="L114" s="33">
        <f t="shared" si="127"/>
        <v>4.3605042075970823E-2</v>
      </c>
      <c r="M114" s="33">
        <f t="shared" si="127"/>
        <v>80.223039215686271</v>
      </c>
    </row>
    <row r="115" spans="2:13">
      <c r="C115" s="15" t="s">
        <v>40</v>
      </c>
      <c r="D115" s="33">
        <f t="shared" ref="D115:M115" si="128">D108-D113</f>
        <v>32825</v>
      </c>
      <c r="E115" s="33">
        <f t="shared" si="128"/>
        <v>18445</v>
      </c>
      <c r="F115" s="33">
        <f t="shared" si="128"/>
        <v>275</v>
      </c>
      <c r="G115" s="33">
        <f t="shared" si="128"/>
        <v>51270</v>
      </c>
      <c r="H115" s="33">
        <f t="shared" si="128"/>
        <v>1152.5</v>
      </c>
      <c r="I115" s="33">
        <f t="shared" si="128"/>
        <v>67.7</v>
      </c>
      <c r="J115" s="33">
        <f t="shared" si="128"/>
        <v>49.001935336976317</v>
      </c>
      <c r="K115" s="33">
        <f t="shared" si="128"/>
        <v>0.78329170355410971</v>
      </c>
      <c r="L115" s="33">
        <f t="shared" si="128"/>
        <v>0.21670829644589029</v>
      </c>
      <c r="M115" s="33">
        <f t="shared" si="128"/>
        <v>91.880758525466831</v>
      </c>
    </row>
    <row r="116" spans="2:13">
      <c r="C116" s="15" t="s">
        <v>25</v>
      </c>
      <c r="D116" s="33">
        <f t="shared" ref="D116:M116" si="129">D109-D114</f>
        <v>40325</v>
      </c>
      <c r="E116" s="33">
        <f t="shared" si="129"/>
        <v>35840</v>
      </c>
      <c r="F116" s="33">
        <f t="shared" si="129"/>
        <v>320</v>
      </c>
      <c r="G116" s="33">
        <f t="shared" si="129"/>
        <v>75555</v>
      </c>
      <c r="H116" s="33">
        <f t="shared" si="129"/>
        <v>2000</v>
      </c>
      <c r="I116" s="33">
        <f t="shared" si="129"/>
        <v>142.69999999999999</v>
      </c>
      <c r="J116" s="33">
        <f t="shared" si="129"/>
        <v>3.6327413479052737</v>
      </c>
      <c r="K116" s="33">
        <f t="shared" si="129"/>
        <v>0.51800822509984346</v>
      </c>
      <c r="L116" s="33">
        <f t="shared" si="129"/>
        <v>0.48199177490015654</v>
      </c>
      <c r="M116" s="33">
        <f t="shared" si="129"/>
        <v>-24.038240407936634</v>
      </c>
    </row>
    <row r="117" spans="2:13">
      <c r="C117" s="15" t="s">
        <v>89</v>
      </c>
      <c r="D117" s="33" cm="1">
        <f t="array" ref="D117">SUM(D113:D116*D113:D116)/COUNT(D113:D116)</f>
        <v>717354075</v>
      </c>
      <c r="E117" s="33" cm="1">
        <f t="array" ref="E117">SUM(E113:E116*E113:E116)/COUNT(E113:E116)</f>
        <v>429022087.5</v>
      </c>
      <c r="F117" s="33" cm="1">
        <f t="array" ref="F117">SUM(F113:F116*F113:F116)/COUNT(F113:F116)</f>
        <v>47307.25</v>
      </c>
      <c r="G117" s="33" cm="1">
        <f t="array" ref="G117">SUM(G113:G116*G113:G116)/COUNT(G113:G116)</f>
        <v>2192666837.5</v>
      </c>
      <c r="H117" s="33" cm="1">
        <f t="array" ref="H117">SUM(H113:H116*H113:H116)/COUNT(H113:H116)</f>
        <v>1390478.125</v>
      </c>
      <c r="I117" s="33" cm="1">
        <f t="array" ref="I117">SUM(I113:I116*I113:I116)/COUNT(I113:I116)</f>
        <v>6538.6299999999992</v>
      </c>
      <c r="J117" s="33" cm="1">
        <f t="array" ref="J117">SUM(J113:J116*J113:J116)/COUNT(J113:J116)</f>
        <v>964.03023119661384</v>
      </c>
      <c r="K117" s="33" cm="1">
        <f t="array" ref="K117">SUM(K113:K116*K113:K116)/COUNT(K113:K116)</f>
        <v>0.22348821350132334</v>
      </c>
      <c r="L117" s="33" cm="1">
        <f t="array" ref="L117">SUM(L113:L116*L113:L116)/COUNT(L113:L116)</f>
        <v>7.2838249174346767E-2</v>
      </c>
      <c r="M117" s="33" cm="1">
        <f t="array" ref="M117">SUM(M113:M116*M113:M116)/COUNT(M113:M116)</f>
        <v>3865.2595480630866</v>
      </c>
    </row>
    <row r="118" spans="2:13">
      <c r="C118" s="15" t="s">
        <v>58</v>
      </c>
      <c r="D118" s="33">
        <f>SQRT(D117)</f>
        <v>26783.466448538733</v>
      </c>
      <c r="E118" s="33">
        <f t="shared" ref="E118" si="130">SQRT(E117)</f>
        <v>20712.848367619554</v>
      </c>
      <c r="F118" s="33">
        <f t="shared" ref="F118" si="131">SQRT(F117)</f>
        <v>217.50229883842607</v>
      </c>
      <c r="G118" s="33">
        <f t="shared" ref="G118" si="132">SQRT(G117)</f>
        <v>46825.920572904921</v>
      </c>
      <c r="H118" s="33">
        <f t="shared" ref="H118" si="133">SQRT(H117)</f>
        <v>1179.1853649872016</v>
      </c>
      <c r="I118" s="33">
        <f t="shared" ref="I118" si="134">SQRT(I117)</f>
        <v>80.861795676326651</v>
      </c>
      <c r="J118" s="33">
        <f t="shared" ref="J118" si="135">SQRT(J117)</f>
        <v>31.048836229343827</v>
      </c>
      <c r="K118" s="33">
        <f t="shared" ref="K118" si="136">SQRT(K117)</f>
        <v>0.47274540029631523</v>
      </c>
      <c r="L118" s="33">
        <f t="shared" ref="L118" si="137">SQRT(L117)</f>
        <v>0.26988562239279579</v>
      </c>
      <c r="M118" s="33">
        <f t="shared" ref="M118" si="138">SQRT(M117)</f>
        <v>62.171211569850293</v>
      </c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FBDA-0FDE-4B1B-BD53-15693CFB3591}">
  <dimension ref="C1:S7"/>
  <sheetViews>
    <sheetView tabSelected="1" topLeftCell="H6" workbookViewId="0">
      <selection activeCell="L2" sqref="L2:S6"/>
    </sheetView>
  </sheetViews>
  <sheetFormatPr defaultRowHeight="18"/>
  <cols>
    <col min="2" max="2" width="6.6640625" bestFit="1" customWidth="1"/>
    <col min="3" max="3" width="10.1640625" style="5" bestFit="1" customWidth="1"/>
    <col min="4" max="4" width="12.33203125" style="5" bestFit="1" customWidth="1"/>
    <col min="5" max="10" width="8.6640625" style="5"/>
  </cols>
  <sheetData>
    <row r="1" spans="3:19">
      <c r="C1" s="5" t="s">
        <v>511</v>
      </c>
    </row>
    <row r="2" spans="3:19">
      <c r="D2" s="5" t="s">
        <v>79</v>
      </c>
      <c r="E2" s="5" t="s">
        <v>80</v>
      </c>
      <c r="F2" s="5" t="s">
        <v>81</v>
      </c>
      <c r="G2" s="5" t="s">
        <v>82</v>
      </c>
      <c r="H2" s="5" t="s">
        <v>83</v>
      </c>
      <c r="I2" s="5" t="s">
        <v>84</v>
      </c>
      <c r="J2" s="5" t="s">
        <v>85</v>
      </c>
      <c r="L2" s="5"/>
      <c r="M2" s="5" t="s">
        <v>79</v>
      </c>
      <c r="N2" s="5" t="s">
        <v>80</v>
      </c>
      <c r="O2" s="5" t="s">
        <v>81</v>
      </c>
      <c r="P2" s="5" t="s">
        <v>82</v>
      </c>
      <c r="Q2" s="5" t="s">
        <v>83</v>
      </c>
      <c r="R2" s="5" t="s">
        <v>84</v>
      </c>
      <c r="S2" s="5" t="s">
        <v>85</v>
      </c>
    </row>
    <row r="3" spans="3:19">
      <c r="C3" s="5" t="s">
        <v>21</v>
      </c>
      <c r="D3" s="5">
        <v>0.24</v>
      </c>
      <c r="E3" s="5">
        <v>14.07</v>
      </c>
      <c r="F3" s="5">
        <v>14.07</v>
      </c>
      <c r="G3" s="5">
        <v>8.64</v>
      </c>
      <c r="H3" s="5">
        <v>3.78</v>
      </c>
      <c r="I3" s="5">
        <v>17.07</v>
      </c>
      <c r="J3" s="5">
        <v>17.57</v>
      </c>
      <c r="L3" s="5" t="s">
        <v>21</v>
      </c>
      <c r="M3" s="5">
        <v>0.24</v>
      </c>
      <c r="N3" s="5">
        <v>14.07</v>
      </c>
      <c r="O3" s="5">
        <v>14.07</v>
      </c>
      <c r="P3" s="5">
        <v>8.64</v>
      </c>
      <c r="Q3" s="5">
        <v>3.78</v>
      </c>
      <c r="R3" s="5">
        <v>17.07</v>
      </c>
      <c r="S3" s="5">
        <v>17.57</v>
      </c>
    </row>
    <row r="4" spans="3:19">
      <c r="C4" s="5" t="s">
        <v>107</v>
      </c>
      <c r="D4" s="5">
        <v>0</v>
      </c>
      <c r="E4" s="5">
        <v>3.16</v>
      </c>
      <c r="F4" s="5">
        <v>11.29</v>
      </c>
      <c r="G4" s="5">
        <v>13.56</v>
      </c>
      <c r="H4" s="5">
        <v>12.13</v>
      </c>
      <c r="I4" s="5">
        <v>8.01</v>
      </c>
      <c r="J4" s="5">
        <v>30.14</v>
      </c>
      <c r="L4" s="5" t="s">
        <v>107</v>
      </c>
      <c r="M4" s="5">
        <v>0</v>
      </c>
      <c r="N4" s="5">
        <v>3.16</v>
      </c>
      <c r="O4" s="5">
        <v>11.29</v>
      </c>
      <c r="P4" s="5">
        <v>13.56</v>
      </c>
      <c r="Q4" s="5">
        <v>12.13</v>
      </c>
      <c r="R4" s="5">
        <v>8.01</v>
      </c>
      <c r="S4" s="5">
        <v>30.14</v>
      </c>
    </row>
    <row r="5" spans="3:19">
      <c r="C5" s="5" t="s">
        <v>105</v>
      </c>
      <c r="D5" s="5">
        <v>0</v>
      </c>
      <c r="E5" s="5">
        <v>0</v>
      </c>
      <c r="F5" s="5">
        <v>5.88</v>
      </c>
      <c r="G5" s="5">
        <v>19.36</v>
      </c>
      <c r="H5" s="5">
        <v>14.95</v>
      </c>
      <c r="I5" s="5">
        <v>36.78</v>
      </c>
      <c r="J5" s="5">
        <v>30.45</v>
      </c>
      <c r="L5" s="5" t="s">
        <v>105</v>
      </c>
      <c r="M5" s="5">
        <v>0</v>
      </c>
      <c r="N5" s="5">
        <v>0</v>
      </c>
      <c r="O5" s="5">
        <v>5.88</v>
      </c>
      <c r="P5" s="5">
        <v>19.36</v>
      </c>
      <c r="Q5" s="5">
        <v>14.95</v>
      </c>
      <c r="R5" s="5">
        <v>36.78</v>
      </c>
      <c r="S5" s="5">
        <v>30.45</v>
      </c>
    </row>
    <row r="6" spans="3:19">
      <c r="C6" s="5" t="s">
        <v>25</v>
      </c>
      <c r="D6" s="5">
        <v>1.54</v>
      </c>
      <c r="E6" s="5">
        <v>2.02</v>
      </c>
      <c r="F6" s="5">
        <v>61.18</v>
      </c>
      <c r="G6" s="5">
        <v>64.010000000000005</v>
      </c>
      <c r="H6" s="5">
        <v>37.22</v>
      </c>
      <c r="I6" s="5">
        <v>32.85</v>
      </c>
      <c r="J6" s="5">
        <v>74.5</v>
      </c>
      <c r="L6" s="5" t="s">
        <v>57</v>
      </c>
      <c r="M6" s="5">
        <f>AVERAGE(M3:M5)</f>
        <v>0.08</v>
      </c>
      <c r="N6" s="5">
        <f>AVERAGE(N3:N5)</f>
        <v>5.7433333333333332</v>
      </c>
      <c r="O6" s="5">
        <f>AVERAGE(O3:O5)</f>
        <v>10.413333333333332</v>
      </c>
      <c r="P6" s="5">
        <f>AVERAGE(P3:P5)</f>
        <v>13.853333333333333</v>
      </c>
      <c r="Q6" s="5">
        <f>AVERAGE(Q3:Q5)</f>
        <v>10.286666666666667</v>
      </c>
      <c r="R6" s="5">
        <f>AVERAGE(R3:R5)</f>
        <v>20.62</v>
      </c>
      <c r="S6" s="5">
        <f>AVERAGE(S3:S5)</f>
        <v>26.053333333333331</v>
      </c>
    </row>
    <row r="7" spans="3:19">
      <c r="C7" s="5" t="s">
        <v>57</v>
      </c>
      <c r="D7" s="5">
        <f>AVERAGE(D3:D6)</f>
        <v>0.44500000000000001</v>
      </c>
      <c r="E7" s="5">
        <f t="shared" ref="E7:J7" si="0">AVERAGE(E3:E6)</f>
        <v>4.8125</v>
      </c>
      <c r="F7" s="5">
        <f t="shared" si="0"/>
        <v>23.105</v>
      </c>
      <c r="G7" s="5">
        <f t="shared" si="0"/>
        <v>26.392500000000002</v>
      </c>
      <c r="H7" s="5">
        <f t="shared" si="0"/>
        <v>17.02</v>
      </c>
      <c r="I7" s="5">
        <f t="shared" si="0"/>
        <v>23.677500000000002</v>
      </c>
      <c r="J7" s="5">
        <f t="shared" si="0"/>
        <v>38.164999999999999</v>
      </c>
    </row>
  </sheetData>
  <phoneticPr fontId="2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7527-1738-4444-9735-260B204E5377}">
  <dimension ref="A1:B117"/>
  <sheetViews>
    <sheetView workbookViewId="0">
      <selection activeCell="A8" sqref="A8"/>
    </sheetView>
  </sheetViews>
  <sheetFormatPr defaultRowHeight="18"/>
  <sheetData>
    <row r="1" spans="1:1">
      <c r="A1" t="s">
        <v>329</v>
      </c>
    </row>
    <row r="3" spans="1:1">
      <c r="A3" t="s">
        <v>330</v>
      </c>
    </row>
    <row r="5" spans="1:1">
      <c r="A5" t="s">
        <v>331</v>
      </c>
    </row>
    <row r="7" spans="1:1">
      <c r="A7" t="s">
        <v>332</v>
      </c>
    </row>
    <row r="9" spans="1:1">
      <c r="A9" t="s">
        <v>333</v>
      </c>
    </row>
    <row r="11" spans="1:1">
      <c r="A11" t="s">
        <v>334</v>
      </c>
    </row>
    <row r="13" spans="1:1">
      <c r="A13" t="s">
        <v>335</v>
      </c>
    </row>
    <row r="15" spans="1:1">
      <c r="A15" t="s">
        <v>336</v>
      </c>
    </row>
    <row r="17" spans="1:1">
      <c r="A17" t="s">
        <v>337</v>
      </c>
    </row>
    <row r="19" spans="1:1">
      <c r="A19" t="s">
        <v>338</v>
      </c>
    </row>
    <row r="23" spans="1:1">
      <c r="A23" t="s">
        <v>339</v>
      </c>
    </row>
    <row r="25" spans="1:1">
      <c r="A25" t="s">
        <v>340</v>
      </c>
    </row>
    <row r="27" spans="1:1">
      <c r="A27" t="s">
        <v>341</v>
      </c>
    </row>
    <row r="29" spans="1:1">
      <c r="A29" t="s">
        <v>342</v>
      </c>
    </row>
    <row r="31" spans="1:1">
      <c r="A31" t="s">
        <v>343</v>
      </c>
    </row>
    <row r="33" spans="1:1">
      <c r="A33" t="s">
        <v>344</v>
      </c>
    </row>
    <row r="35" spans="1:1">
      <c r="A35" t="s">
        <v>336</v>
      </c>
    </row>
    <row r="37" spans="1:1">
      <c r="A37" t="s">
        <v>345</v>
      </c>
    </row>
    <row r="39" spans="1:1">
      <c r="A39" t="s">
        <v>346</v>
      </c>
    </row>
    <row r="41" spans="1:1">
      <c r="A41" t="s">
        <v>347</v>
      </c>
    </row>
    <row r="45" spans="1:1">
      <c r="A45" t="s">
        <v>348</v>
      </c>
    </row>
    <row r="47" spans="1:1">
      <c r="A47" t="s">
        <v>349</v>
      </c>
    </row>
    <row r="49" spans="1:1">
      <c r="A49" t="s">
        <v>350</v>
      </c>
    </row>
    <row r="51" spans="1:1">
      <c r="A51" t="s">
        <v>351</v>
      </c>
    </row>
    <row r="53" spans="1:1">
      <c r="A53" t="s">
        <v>352</v>
      </c>
    </row>
    <row r="55" spans="1:1">
      <c r="A55" t="s">
        <v>336</v>
      </c>
    </row>
    <row r="57" spans="1:1">
      <c r="A57" t="s">
        <v>353</v>
      </c>
    </row>
    <row r="59" spans="1:1">
      <c r="A59" t="s">
        <v>354</v>
      </c>
    </row>
    <row r="61" spans="1:1">
      <c r="A61" t="s">
        <v>355</v>
      </c>
    </row>
    <row r="65" spans="1:1">
      <c r="A65" t="s">
        <v>356</v>
      </c>
    </row>
    <row r="67" spans="1:1">
      <c r="A67" t="s">
        <v>357</v>
      </c>
    </row>
    <row r="69" spans="1:1">
      <c r="A69" t="s">
        <v>358</v>
      </c>
    </row>
    <row r="71" spans="1:1">
      <c r="A71" t="s">
        <v>359</v>
      </c>
    </row>
    <row r="73" spans="1:1">
      <c r="A73" t="s">
        <v>360</v>
      </c>
    </row>
    <row r="75" spans="1:1">
      <c r="A75" t="s">
        <v>361</v>
      </c>
    </row>
    <row r="77" spans="1:1">
      <c r="A77" t="s">
        <v>336</v>
      </c>
    </row>
    <row r="79" spans="1:1">
      <c r="A79" t="s">
        <v>362</v>
      </c>
    </row>
    <row r="81" spans="1:2">
      <c r="A81" t="s">
        <v>363</v>
      </c>
    </row>
    <row r="83" spans="1:2">
      <c r="A83" t="s">
        <v>364</v>
      </c>
    </row>
    <row r="87" spans="1:2">
      <c r="A87" t="s">
        <v>365</v>
      </c>
    </row>
    <row r="89" spans="1:2">
      <c r="A89" t="s">
        <v>140</v>
      </c>
      <c r="B89" t="s">
        <v>366</v>
      </c>
    </row>
    <row r="90" spans="1:2">
      <c r="A90" t="s">
        <v>367</v>
      </c>
      <c r="B90" t="s">
        <v>368</v>
      </c>
    </row>
    <row r="91" spans="1:2">
      <c r="A91" t="s">
        <v>369</v>
      </c>
      <c r="B91" t="s">
        <v>370</v>
      </c>
    </row>
    <row r="92" spans="1:2">
      <c r="A92" t="s">
        <v>371</v>
      </c>
      <c r="B92" t="s">
        <v>372</v>
      </c>
    </row>
    <row r="93" spans="1:2">
      <c r="A93" t="s">
        <v>373</v>
      </c>
      <c r="B93" t="s">
        <v>374</v>
      </c>
    </row>
    <row r="96" spans="1:2">
      <c r="A96" t="s">
        <v>375</v>
      </c>
    </row>
    <row r="98" spans="1:2">
      <c r="A98" t="s">
        <v>106</v>
      </c>
      <c r="B98" t="s">
        <v>376</v>
      </c>
    </row>
    <row r="99" spans="1:2">
      <c r="A99" t="s">
        <v>104</v>
      </c>
      <c r="B99" t="s">
        <v>377</v>
      </c>
    </row>
    <row r="100" spans="1:2">
      <c r="A100" t="s">
        <v>107</v>
      </c>
      <c r="B100" t="s">
        <v>378</v>
      </c>
    </row>
    <row r="101" spans="1:2">
      <c r="A101" t="s">
        <v>105</v>
      </c>
      <c r="B101" t="s">
        <v>379</v>
      </c>
    </row>
    <row r="102" spans="1:2">
      <c r="A102" t="s">
        <v>108</v>
      </c>
      <c r="B102" t="s">
        <v>380</v>
      </c>
    </row>
    <row r="105" spans="1:2">
      <c r="A105" t="s">
        <v>381</v>
      </c>
    </row>
    <row r="107" spans="1:2">
      <c r="A107" t="s">
        <v>382</v>
      </c>
    </row>
    <row r="111" spans="1:2">
      <c r="A111" t="s">
        <v>383</v>
      </c>
    </row>
    <row r="113" spans="1:1">
      <c r="A113" t="s">
        <v>384</v>
      </c>
    </row>
    <row r="115" spans="1:1">
      <c r="A115" t="s">
        <v>385</v>
      </c>
    </row>
    <row r="117" spans="1:1">
      <c r="A117" t="s">
        <v>386</v>
      </c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9BE6-D7EB-49E6-B3CE-7B6EE7C6F7D9}">
  <dimension ref="A1:AI187"/>
  <sheetViews>
    <sheetView topLeftCell="A171" workbookViewId="0">
      <selection activeCell="AE180" sqref="AE180"/>
    </sheetView>
  </sheetViews>
  <sheetFormatPr defaultRowHeight="18"/>
  <sheetData>
    <row r="1" spans="1:35">
      <c r="A1" t="s">
        <v>79</v>
      </c>
      <c r="G1" t="s">
        <v>81</v>
      </c>
      <c r="M1" t="s">
        <v>82</v>
      </c>
      <c r="S1" t="s">
        <v>83</v>
      </c>
      <c r="Y1" t="s">
        <v>84</v>
      </c>
      <c r="AE1" t="s">
        <v>85</v>
      </c>
    </row>
    <row r="2" spans="1:35">
      <c r="A2" s="9" t="str" cm="1">
        <f t="array" ref="A2:D2">_xlfn._xlws.FILTER(元!E6:H14,ISNUMBER(SEARCH("かおり",元!E6:E14)))</f>
        <v>かおり野</v>
      </c>
      <c r="B2">
        <v>240</v>
      </c>
      <c r="C2">
        <v>0</v>
      </c>
      <c r="D2">
        <v>3</v>
      </c>
      <c r="G2" s="4" t="s">
        <v>17</v>
      </c>
      <c r="H2" s="5" t="s">
        <v>11</v>
      </c>
      <c r="I2" s="5">
        <v>320</v>
      </c>
      <c r="J2" s="5">
        <v>0</v>
      </c>
      <c r="K2" s="5">
        <v>0</v>
      </c>
      <c r="L2" s="5"/>
      <c r="M2" s="5" t="s">
        <v>29</v>
      </c>
      <c r="N2" s="5" t="s">
        <v>25</v>
      </c>
      <c r="O2" s="5">
        <v>300</v>
      </c>
      <c r="P2" s="5">
        <v>240</v>
      </c>
      <c r="Q2" s="5">
        <v>3</v>
      </c>
      <c r="R2" s="5"/>
      <c r="S2" s="5" t="s">
        <v>29</v>
      </c>
      <c r="T2" s="5" t="s">
        <v>25</v>
      </c>
      <c r="U2" s="5">
        <v>0</v>
      </c>
      <c r="V2" s="5">
        <v>360</v>
      </c>
      <c r="W2" s="5">
        <v>0</v>
      </c>
      <c r="X2" s="5"/>
      <c r="Y2" s="5" t="s">
        <v>20</v>
      </c>
      <c r="Z2" s="5" t="s">
        <v>21</v>
      </c>
      <c r="AA2" s="5">
        <v>140</v>
      </c>
      <c r="AB2" s="5">
        <v>600</v>
      </c>
      <c r="AC2" s="5">
        <v>1</v>
      </c>
      <c r="AD2" s="5"/>
      <c r="AE2" s="5" t="s">
        <v>29</v>
      </c>
      <c r="AF2" s="5" t="s">
        <v>25</v>
      </c>
      <c r="AG2" s="5">
        <v>160</v>
      </c>
      <c r="AH2" s="5">
        <v>260</v>
      </c>
      <c r="AI2" s="5">
        <v>1</v>
      </c>
    </row>
    <row r="3" spans="1:35">
      <c r="A3" t="str" cm="1">
        <f t="array" ref="A3:D10">_xlfn._xlws.FILTER(元!E6:H14,ISNUMBER(SEARCH("紅",元!E6:E14)))</f>
        <v>紅ほっぺ（断）</v>
      </c>
      <c r="B3">
        <v>46</v>
      </c>
      <c r="C3">
        <v>0</v>
      </c>
      <c r="D3">
        <v>0</v>
      </c>
      <c r="G3" s="4" t="s">
        <v>28</v>
      </c>
      <c r="H3" s="5" t="s">
        <v>11</v>
      </c>
      <c r="I3" s="5">
        <v>60</v>
      </c>
      <c r="J3" s="5">
        <v>0</v>
      </c>
      <c r="K3" s="5">
        <v>0</v>
      </c>
      <c r="L3" s="5"/>
      <c r="M3" s="5" t="s">
        <v>20</v>
      </c>
      <c r="N3" s="5" t="s">
        <v>21</v>
      </c>
      <c r="O3" s="5">
        <v>400</v>
      </c>
      <c r="P3" s="5">
        <v>920</v>
      </c>
      <c r="Q3" s="5">
        <v>4</v>
      </c>
      <c r="R3" s="5"/>
      <c r="S3" s="5" t="s">
        <v>20</v>
      </c>
      <c r="T3" s="5" t="s">
        <v>21</v>
      </c>
      <c r="U3" s="5">
        <v>0</v>
      </c>
      <c r="V3" s="5">
        <v>0</v>
      </c>
      <c r="W3" s="5">
        <v>0</v>
      </c>
      <c r="X3" s="5"/>
      <c r="Y3" s="5" t="s">
        <v>27</v>
      </c>
      <c r="Z3" s="5" t="s">
        <v>25</v>
      </c>
      <c r="AA3" s="5">
        <v>0</v>
      </c>
      <c r="AB3" s="5">
        <v>260</v>
      </c>
      <c r="AC3" s="5">
        <v>0</v>
      </c>
      <c r="AD3" s="5"/>
      <c r="AE3" s="5" t="s">
        <v>20</v>
      </c>
      <c r="AF3" s="5" t="s">
        <v>44</v>
      </c>
      <c r="AG3" s="5">
        <v>2180</v>
      </c>
      <c r="AH3" s="5">
        <v>1000</v>
      </c>
      <c r="AI3" s="5">
        <v>17</v>
      </c>
    </row>
    <row r="4" spans="1:35">
      <c r="A4" t="str">
        <v>紅ほっぺ（断）</v>
      </c>
      <c r="B4">
        <v>130</v>
      </c>
      <c r="C4">
        <v>0</v>
      </c>
      <c r="D4">
        <v>0</v>
      </c>
      <c r="G4" s="5" t="s">
        <v>27</v>
      </c>
      <c r="H4" s="5" t="s">
        <v>25</v>
      </c>
      <c r="I4" s="5">
        <v>960</v>
      </c>
      <c r="J4" s="5">
        <v>0</v>
      </c>
      <c r="K4" s="5">
        <v>5</v>
      </c>
      <c r="L4" s="5"/>
      <c r="M4" s="5" t="s">
        <v>26</v>
      </c>
      <c r="N4" s="5" t="s">
        <v>25</v>
      </c>
      <c r="O4" s="5">
        <v>160</v>
      </c>
      <c r="P4" s="5">
        <v>380</v>
      </c>
      <c r="Q4" s="5">
        <v>1</v>
      </c>
      <c r="R4" s="5"/>
      <c r="S4" s="5" t="s">
        <v>26</v>
      </c>
      <c r="T4" s="5" t="s">
        <v>25</v>
      </c>
      <c r="U4" s="5">
        <v>0</v>
      </c>
      <c r="V4" s="5">
        <v>0</v>
      </c>
      <c r="W4" s="5">
        <v>0</v>
      </c>
      <c r="X4" s="5"/>
      <c r="Y4" s="5" t="s">
        <v>32</v>
      </c>
      <c r="Z4" s="5" t="s">
        <v>40</v>
      </c>
      <c r="AA4" s="5">
        <v>240</v>
      </c>
      <c r="AB4" s="5">
        <v>1360</v>
      </c>
      <c r="AC4" s="5">
        <v>2</v>
      </c>
      <c r="AD4" s="5"/>
      <c r="AE4" s="5" t="s">
        <v>32</v>
      </c>
      <c r="AF4" s="5" t="s">
        <v>40</v>
      </c>
      <c r="AG4" s="5">
        <v>910</v>
      </c>
      <c r="AH4" s="5">
        <v>70</v>
      </c>
      <c r="AI4" s="5">
        <v>7</v>
      </c>
    </row>
    <row r="5" spans="1:35">
      <c r="A5" t="str">
        <v>紅ほっぺ（断）</v>
      </c>
      <c r="B5">
        <v>100</v>
      </c>
      <c r="C5">
        <v>0</v>
      </c>
      <c r="D5">
        <v>0</v>
      </c>
      <c r="G5" s="5" t="s">
        <v>13</v>
      </c>
      <c r="H5" s="5" t="s">
        <v>11</v>
      </c>
      <c r="I5" s="5">
        <v>240</v>
      </c>
      <c r="J5" s="5">
        <v>0</v>
      </c>
      <c r="K5" s="5">
        <v>0</v>
      </c>
      <c r="L5" s="5"/>
      <c r="M5" s="5" t="s">
        <v>27</v>
      </c>
      <c r="N5" s="5" t="s">
        <v>25</v>
      </c>
      <c r="O5" s="5">
        <v>780</v>
      </c>
      <c r="P5" s="5">
        <v>260</v>
      </c>
      <c r="Q5" s="5">
        <v>7</v>
      </c>
      <c r="R5" s="5"/>
      <c r="S5" s="5" t="s">
        <v>27</v>
      </c>
      <c r="T5" s="5" t="s">
        <v>25</v>
      </c>
      <c r="U5" s="5">
        <v>480</v>
      </c>
      <c r="V5" s="5">
        <v>620</v>
      </c>
      <c r="W5" s="5">
        <v>4</v>
      </c>
      <c r="X5" s="5"/>
      <c r="Y5" s="5" t="s">
        <v>28</v>
      </c>
      <c r="Z5" s="5" t="s">
        <v>43</v>
      </c>
      <c r="AA5" s="5">
        <v>20</v>
      </c>
      <c r="AB5" s="5">
        <v>170</v>
      </c>
      <c r="AC5" s="5">
        <v>0</v>
      </c>
      <c r="AD5" s="5"/>
      <c r="AE5" s="5" t="s">
        <v>28</v>
      </c>
      <c r="AF5" s="5" t="s">
        <v>43</v>
      </c>
      <c r="AG5" s="5">
        <v>210</v>
      </c>
      <c r="AH5" s="5">
        <v>30</v>
      </c>
      <c r="AI5" s="5">
        <v>2</v>
      </c>
    </row>
    <row r="6" spans="1:35">
      <c r="A6" t="str">
        <v>紅ほっぺ（断）</v>
      </c>
      <c r="B6">
        <v>320</v>
      </c>
      <c r="C6">
        <v>0</v>
      </c>
      <c r="D6">
        <v>3</v>
      </c>
      <c r="G6" s="5" t="s">
        <v>19</v>
      </c>
      <c r="H6" s="5" t="s">
        <v>25</v>
      </c>
      <c r="I6" s="5">
        <v>3940</v>
      </c>
      <c r="J6" s="5">
        <v>0</v>
      </c>
      <c r="K6" s="5">
        <v>28</v>
      </c>
      <c r="L6" s="5"/>
      <c r="M6" s="5" t="s">
        <v>32</v>
      </c>
      <c r="N6" s="5" t="s">
        <v>40</v>
      </c>
      <c r="O6" s="5">
        <v>1680</v>
      </c>
      <c r="P6" s="5">
        <v>1540</v>
      </c>
      <c r="Q6" s="5">
        <v>12</v>
      </c>
      <c r="R6" s="5"/>
      <c r="S6" s="5" t="s">
        <v>32</v>
      </c>
      <c r="T6" s="5" t="s">
        <v>40</v>
      </c>
      <c r="U6" s="5">
        <v>250</v>
      </c>
      <c r="V6" s="5">
        <v>1510</v>
      </c>
      <c r="W6" s="5">
        <v>2</v>
      </c>
      <c r="X6" s="5"/>
      <c r="Y6" s="5" t="s">
        <v>35</v>
      </c>
      <c r="Z6" s="5" t="s">
        <v>25</v>
      </c>
      <c r="AA6" s="5">
        <v>0</v>
      </c>
      <c r="AB6" s="5">
        <v>80</v>
      </c>
      <c r="AC6" s="5">
        <v>0</v>
      </c>
      <c r="AD6" s="5"/>
      <c r="AE6" s="5" t="s">
        <v>45</v>
      </c>
      <c r="AF6" s="5" t="s">
        <v>25</v>
      </c>
      <c r="AG6" s="5">
        <v>300</v>
      </c>
      <c r="AH6" s="5">
        <v>80</v>
      </c>
      <c r="AI6" s="5">
        <v>3</v>
      </c>
    </row>
    <row r="7" spans="1:35">
      <c r="A7" t="str">
        <v>紅ほっぺ（断）</v>
      </c>
      <c r="B7">
        <v>260</v>
      </c>
      <c r="C7">
        <v>0</v>
      </c>
      <c r="D7">
        <v>0</v>
      </c>
      <c r="G7" s="5" t="s">
        <v>19</v>
      </c>
      <c r="H7" s="5" t="s">
        <v>23</v>
      </c>
      <c r="I7" s="5">
        <v>160</v>
      </c>
      <c r="J7" s="5">
        <v>800</v>
      </c>
      <c r="K7" s="5">
        <v>0</v>
      </c>
      <c r="L7" s="5"/>
      <c r="M7" s="5" t="s">
        <v>28</v>
      </c>
      <c r="N7" s="5" t="s">
        <v>34</v>
      </c>
      <c r="O7" s="5">
        <v>330</v>
      </c>
      <c r="P7" s="5">
        <v>190</v>
      </c>
      <c r="Q7" s="5">
        <v>3</v>
      </c>
      <c r="R7" s="5"/>
      <c r="S7" s="5" t="s">
        <v>28</v>
      </c>
      <c r="T7" s="5" t="s">
        <v>34</v>
      </c>
      <c r="U7" s="5">
        <v>0</v>
      </c>
      <c r="V7" s="5">
        <v>843</v>
      </c>
      <c r="W7" s="5">
        <v>0</v>
      </c>
      <c r="X7" s="5"/>
      <c r="Y7" s="5" t="s">
        <v>37</v>
      </c>
      <c r="Z7" s="5" t="s">
        <v>40</v>
      </c>
      <c r="AA7" s="5">
        <v>590</v>
      </c>
      <c r="AB7" s="5">
        <v>570</v>
      </c>
      <c r="AC7" s="5">
        <v>4</v>
      </c>
      <c r="AD7" s="5"/>
      <c r="AE7" s="5" t="s">
        <v>30</v>
      </c>
      <c r="AF7" s="5" t="s">
        <v>25</v>
      </c>
      <c r="AG7" s="5">
        <v>790</v>
      </c>
      <c r="AH7" s="5">
        <v>250</v>
      </c>
      <c r="AI7" s="5">
        <v>8</v>
      </c>
    </row>
    <row r="8" spans="1:35">
      <c r="A8" t="str">
        <v>紅ほっぺ（断）</v>
      </c>
      <c r="B8">
        <v>195</v>
      </c>
      <c r="C8">
        <v>0</v>
      </c>
      <c r="D8">
        <v>0</v>
      </c>
      <c r="G8" s="4" t="s">
        <v>24</v>
      </c>
      <c r="H8" s="5" t="s">
        <v>25</v>
      </c>
      <c r="I8" s="5">
        <v>340</v>
      </c>
      <c r="J8" s="5">
        <v>0</v>
      </c>
      <c r="K8" s="5">
        <v>0</v>
      </c>
      <c r="L8" s="5"/>
      <c r="M8" s="5" t="s">
        <v>35</v>
      </c>
      <c r="N8" s="5" t="s">
        <v>25</v>
      </c>
      <c r="O8" s="5">
        <v>730</v>
      </c>
      <c r="P8" s="5">
        <v>390</v>
      </c>
      <c r="Q8" s="5">
        <v>5</v>
      </c>
      <c r="R8" s="5"/>
      <c r="S8" s="5" t="s">
        <v>35</v>
      </c>
      <c r="T8" s="5" t="s">
        <v>25</v>
      </c>
      <c r="U8" s="5">
        <v>30</v>
      </c>
      <c r="V8" s="5">
        <v>260</v>
      </c>
      <c r="W8" s="5">
        <v>0</v>
      </c>
      <c r="X8" s="5"/>
      <c r="Y8" s="5" t="s">
        <v>26</v>
      </c>
      <c r="Z8" s="5" t="s">
        <v>43</v>
      </c>
      <c r="AA8" s="5">
        <v>460</v>
      </c>
      <c r="AB8" s="5">
        <v>240</v>
      </c>
      <c r="AC8" s="5">
        <v>2</v>
      </c>
      <c r="AD8" s="5"/>
      <c r="AE8" s="5" t="s">
        <v>36</v>
      </c>
      <c r="AF8" s="5" t="s">
        <v>25</v>
      </c>
      <c r="AG8" s="5">
        <v>120</v>
      </c>
      <c r="AH8" s="5">
        <v>160</v>
      </c>
      <c r="AI8" s="5">
        <v>1</v>
      </c>
    </row>
    <row r="9" spans="1:35">
      <c r="A9" t="str">
        <v>紅ほっぺ（断）</v>
      </c>
      <c r="B9">
        <v>170</v>
      </c>
      <c r="C9">
        <v>0</v>
      </c>
      <c r="D9">
        <v>0</v>
      </c>
      <c r="G9" s="5" t="s">
        <v>17</v>
      </c>
      <c r="H9" s="5" t="s">
        <v>11</v>
      </c>
      <c r="I9" s="5">
        <v>100</v>
      </c>
      <c r="J9" s="5">
        <v>0</v>
      </c>
      <c r="K9" s="5">
        <v>0</v>
      </c>
      <c r="L9" s="5"/>
      <c r="M9" s="5" t="s">
        <v>30</v>
      </c>
      <c r="N9" s="5" t="s">
        <v>25</v>
      </c>
      <c r="O9" s="5">
        <v>1960</v>
      </c>
      <c r="P9" s="5">
        <v>880</v>
      </c>
      <c r="Q9" s="5">
        <v>18</v>
      </c>
      <c r="R9" s="5"/>
      <c r="S9" s="5" t="s">
        <v>30</v>
      </c>
      <c r="T9" s="5" t="s">
        <v>25</v>
      </c>
      <c r="U9" s="5">
        <v>0</v>
      </c>
      <c r="V9" s="5">
        <v>0</v>
      </c>
      <c r="W9" s="5">
        <v>0</v>
      </c>
      <c r="X9" s="5"/>
      <c r="Y9" s="5" t="s">
        <v>26</v>
      </c>
      <c r="Z9" s="5" t="s">
        <v>40</v>
      </c>
      <c r="AA9" s="5">
        <v>320</v>
      </c>
      <c r="AB9" s="5">
        <v>280</v>
      </c>
      <c r="AC9" s="5">
        <v>2</v>
      </c>
      <c r="AD9" s="5"/>
      <c r="AE9" s="5" t="s">
        <v>37</v>
      </c>
      <c r="AF9" s="5" t="s">
        <v>40</v>
      </c>
      <c r="AG9" s="5">
        <v>600</v>
      </c>
      <c r="AH9" s="5">
        <v>0</v>
      </c>
      <c r="AI9" s="5">
        <v>4</v>
      </c>
    </row>
    <row r="10" spans="1:35">
      <c r="A10" t="str">
        <v>紅ほっぺ（断）</v>
      </c>
      <c r="B10">
        <v>320</v>
      </c>
      <c r="C10">
        <v>0</v>
      </c>
      <c r="D10">
        <v>0</v>
      </c>
      <c r="G10" s="4" t="s">
        <v>26</v>
      </c>
      <c r="H10" s="5" t="s">
        <v>25</v>
      </c>
      <c r="I10" s="5">
        <v>1140</v>
      </c>
      <c r="J10" s="5">
        <v>0</v>
      </c>
      <c r="K10" s="5">
        <v>0</v>
      </c>
      <c r="L10" s="5"/>
      <c r="M10" s="5" t="s">
        <v>36</v>
      </c>
      <c r="N10" s="5" t="s">
        <v>25</v>
      </c>
      <c r="O10" s="5">
        <v>114</v>
      </c>
      <c r="P10" s="5">
        <v>366</v>
      </c>
      <c r="Q10" s="5">
        <v>1</v>
      </c>
      <c r="R10" s="5"/>
      <c r="S10" s="5" t="s">
        <v>36</v>
      </c>
      <c r="T10" s="5" t="s">
        <v>25</v>
      </c>
      <c r="U10" s="5">
        <v>540</v>
      </c>
      <c r="V10" s="5">
        <v>480</v>
      </c>
      <c r="W10" s="5">
        <v>3</v>
      </c>
      <c r="X10" s="5"/>
      <c r="Y10" s="5" t="s">
        <v>10</v>
      </c>
      <c r="Z10" s="5" t="s">
        <v>43</v>
      </c>
      <c r="AA10" s="5">
        <v>530</v>
      </c>
      <c r="AB10" s="5">
        <v>1110</v>
      </c>
      <c r="AC10" s="5">
        <v>5</v>
      </c>
      <c r="AD10" s="5"/>
      <c r="AE10" s="5" t="s">
        <v>17</v>
      </c>
      <c r="AF10" s="5" t="s">
        <v>43</v>
      </c>
      <c r="AG10" s="5">
        <v>0</v>
      </c>
      <c r="AH10" s="5">
        <v>150</v>
      </c>
      <c r="AI10" s="5">
        <v>0</v>
      </c>
    </row>
    <row r="11" spans="1:35">
      <c r="G11" s="5" t="s">
        <v>20</v>
      </c>
      <c r="H11" s="5" t="s">
        <v>21</v>
      </c>
      <c r="I11" s="5">
        <v>4700</v>
      </c>
      <c r="J11" s="5">
        <v>0</v>
      </c>
      <c r="K11" s="5">
        <v>42</v>
      </c>
      <c r="L11" s="5"/>
      <c r="M11" s="5" t="s">
        <v>37</v>
      </c>
      <c r="N11" s="5" t="s">
        <v>40</v>
      </c>
      <c r="O11" s="5">
        <v>868</v>
      </c>
      <c r="P11" s="5">
        <v>712</v>
      </c>
      <c r="Q11" s="5">
        <v>7</v>
      </c>
      <c r="R11" s="5"/>
      <c r="S11" s="5" t="s">
        <v>37</v>
      </c>
      <c r="T11" s="5" t="s">
        <v>40</v>
      </c>
      <c r="U11" s="5">
        <v>1340</v>
      </c>
      <c r="V11" s="5">
        <v>2060</v>
      </c>
      <c r="W11" s="5">
        <v>7</v>
      </c>
      <c r="X11" s="5"/>
      <c r="Y11" s="5" t="s">
        <v>10</v>
      </c>
      <c r="Z11" s="5" t="s">
        <v>21</v>
      </c>
      <c r="AA11" s="5">
        <v>0</v>
      </c>
      <c r="AB11" s="5">
        <v>100</v>
      </c>
      <c r="AC11" s="5">
        <v>0</v>
      </c>
      <c r="AD11" s="5"/>
      <c r="AE11" s="5" t="s">
        <v>26</v>
      </c>
      <c r="AF11" s="5" t="s">
        <v>43</v>
      </c>
      <c r="AG11" s="5">
        <v>450</v>
      </c>
      <c r="AH11" s="5">
        <v>140</v>
      </c>
      <c r="AI11" s="5">
        <v>4</v>
      </c>
    </row>
    <row r="12" spans="1:35">
      <c r="A12" t="s">
        <v>80</v>
      </c>
      <c r="G12" s="4" t="s">
        <v>10</v>
      </c>
      <c r="H12" s="5" t="s">
        <v>11</v>
      </c>
      <c r="I12" s="5">
        <v>1120</v>
      </c>
      <c r="J12" s="5">
        <v>0</v>
      </c>
      <c r="K12" s="5">
        <v>10</v>
      </c>
      <c r="L12" s="5"/>
      <c r="M12" s="5" t="s">
        <v>13</v>
      </c>
      <c r="N12" s="5" t="s">
        <v>25</v>
      </c>
      <c r="O12" s="5">
        <v>500</v>
      </c>
      <c r="P12" s="5">
        <v>320</v>
      </c>
      <c r="Q12" s="5">
        <v>0</v>
      </c>
      <c r="R12" s="5"/>
      <c r="S12" s="5" t="s">
        <v>13</v>
      </c>
      <c r="T12" s="5" t="s">
        <v>25</v>
      </c>
      <c r="U12" s="5">
        <v>0</v>
      </c>
      <c r="V12" s="5">
        <v>660</v>
      </c>
      <c r="W12" s="5">
        <v>0</v>
      </c>
      <c r="X12" s="5"/>
      <c r="Y12" s="5" t="s">
        <v>10</v>
      </c>
      <c r="Z12" s="5" t="s">
        <v>23</v>
      </c>
      <c r="AA12" s="5">
        <v>100</v>
      </c>
      <c r="AB12" s="5">
        <v>100</v>
      </c>
      <c r="AC12" s="5">
        <v>1</v>
      </c>
      <c r="AD12" s="5"/>
      <c r="AE12" s="5" t="s">
        <v>26</v>
      </c>
      <c r="AF12" s="5" t="s">
        <v>40</v>
      </c>
      <c r="AG12" s="5">
        <v>200</v>
      </c>
      <c r="AH12" s="5">
        <v>120</v>
      </c>
      <c r="AI12" s="5">
        <v>2</v>
      </c>
    </row>
    <row r="13" spans="1:35">
      <c r="A13" s="5" t="s">
        <v>20</v>
      </c>
      <c r="B13" s="5" t="s">
        <v>21</v>
      </c>
      <c r="C13" s="5">
        <v>1510</v>
      </c>
      <c r="D13" s="5">
        <v>0</v>
      </c>
      <c r="E13" s="5">
        <v>12</v>
      </c>
      <c r="F13" s="5"/>
      <c r="G13" s="4" t="s">
        <v>10</v>
      </c>
      <c r="H13" s="5" t="s">
        <v>23</v>
      </c>
      <c r="I13" s="5">
        <v>880</v>
      </c>
      <c r="J13" s="5">
        <v>0</v>
      </c>
      <c r="K13" s="5">
        <v>6</v>
      </c>
      <c r="L13" s="5"/>
      <c r="M13" s="5" t="s">
        <v>17</v>
      </c>
      <c r="N13" s="5" t="s">
        <v>34</v>
      </c>
      <c r="O13" s="5">
        <v>420</v>
      </c>
      <c r="P13" s="5">
        <v>260</v>
      </c>
      <c r="Q13" s="5">
        <v>4</v>
      </c>
      <c r="R13" s="5"/>
      <c r="S13" s="5" t="s">
        <v>17</v>
      </c>
      <c r="T13" s="5" t="s">
        <v>34</v>
      </c>
      <c r="U13" s="5">
        <v>0</v>
      </c>
      <c r="V13" s="5">
        <v>550</v>
      </c>
      <c r="W13" s="5">
        <v>0</v>
      </c>
      <c r="X13" s="5"/>
      <c r="Y13" s="5" t="s">
        <v>10</v>
      </c>
      <c r="Z13" s="5" t="s">
        <v>40</v>
      </c>
      <c r="AA13" s="5">
        <v>0</v>
      </c>
      <c r="AB13" s="5">
        <v>80</v>
      </c>
      <c r="AC13" s="5">
        <v>0</v>
      </c>
      <c r="AD13" s="5"/>
      <c r="AE13" s="5" t="s">
        <v>10</v>
      </c>
      <c r="AF13" s="5" t="s">
        <v>44</v>
      </c>
      <c r="AG13" s="5">
        <v>140</v>
      </c>
      <c r="AH13" s="5">
        <v>160</v>
      </c>
      <c r="AI13" s="5">
        <v>1</v>
      </c>
    </row>
    <row r="14" spans="1:35">
      <c r="A14" s="5" t="s">
        <v>10</v>
      </c>
      <c r="B14" s="5" t="s">
        <v>23</v>
      </c>
      <c r="C14" s="5">
        <v>46</v>
      </c>
      <c r="D14" s="5">
        <v>0</v>
      </c>
      <c r="E14" s="5">
        <v>0</v>
      </c>
      <c r="F14" s="5"/>
      <c r="G14" s="4" t="s">
        <v>10</v>
      </c>
      <c r="H14" s="5" t="s">
        <v>21</v>
      </c>
      <c r="I14" s="5">
        <v>220</v>
      </c>
      <c r="J14" s="5">
        <v>0</v>
      </c>
      <c r="K14" s="5">
        <v>1</v>
      </c>
      <c r="L14" s="5"/>
      <c r="M14" s="5" t="s">
        <v>19</v>
      </c>
      <c r="N14" s="5" t="s">
        <v>23</v>
      </c>
      <c r="O14" s="5">
        <v>1990</v>
      </c>
      <c r="P14" s="5">
        <v>1250</v>
      </c>
      <c r="Q14" s="5">
        <v>17</v>
      </c>
      <c r="R14" s="5"/>
      <c r="S14" s="5" t="s">
        <v>19</v>
      </c>
      <c r="T14" s="5" t="s">
        <v>23</v>
      </c>
      <c r="U14" s="5">
        <v>1160</v>
      </c>
      <c r="V14" s="5">
        <v>2420</v>
      </c>
      <c r="W14" s="5">
        <v>11</v>
      </c>
      <c r="X14" s="5"/>
      <c r="Y14" s="5" t="s">
        <v>20</v>
      </c>
      <c r="Z14" s="5" t="s">
        <v>21</v>
      </c>
      <c r="AA14" s="5">
        <v>1660</v>
      </c>
      <c r="AB14" s="5">
        <v>830</v>
      </c>
      <c r="AC14" s="5">
        <v>13</v>
      </c>
      <c r="AD14" s="5"/>
      <c r="AE14" s="5" t="s">
        <v>10</v>
      </c>
      <c r="AF14" s="5" t="s">
        <v>23</v>
      </c>
      <c r="AG14" s="5">
        <v>120</v>
      </c>
      <c r="AH14" s="5">
        <v>200</v>
      </c>
      <c r="AI14" s="5">
        <v>1</v>
      </c>
    </row>
    <row r="15" spans="1:35">
      <c r="A15" s="5" t="s">
        <v>10</v>
      </c>
      <c r="B15" s="5" t="s">
        <v>11</v>
      </c>
      <c r="C15" s="5">
        <v>200</v>
      </c>
      <c r="D15" s="5">
        <v>0</v>
      </c>
      <c r="E15" s="5">
        <v>0</v>
      </c>
      <c r="F15" s="5"/>
      <c r="G15" s="5" t="s">
        <v>24</v>
      </c>
      <c r="H15" s="5" t="s">
        <v>25</v>
      </c>
      <c r="I15" s="5">
        <v>600</v>
      </c>
      <c r="J15" s="5">
        <v>0</v>
      </c>
      <c r="K15" s="5">
        <v>5</v>
      </c>
      <c r="L15" s="5"/>
      <c r="M15" s="5" t="s">
        <v>31</v>
      </c>
      <c r="N15" s="5" t="s">
        <v>34</v>
      </c>
      <c r="O15" s="5">
        <v>0</v>
      </c>
      <c r="P15" s="5">
        <v>0</v>
      </c>
      <c r="Q15" s="5">
        <v>0</v>
      </c>
      <c r="R15" s="5"/>
      <c r="S15" s="5" t="s">
        <v>31</v>
      </c>
      <c r="T15" s="5" t="s">
        <v>34</v>
      </c>
      <c r="U15" s="5">
        <v>0</v>
      </c>
      <c r="V15" s="5">
        <v>0</v>
      </c>
      <c r="W15" s="5">
        <v>0</v>
      </c>
      <c r="X15" s="5"/>
      <c r="Y15" s="5" t="s">
        <v>26</v>
      </c>
      <c r="Z15" s="5" t="s">
        <v>25</v>
      </c>
      <c r="AA15" s="5">
        <v>100</v>
      </c>
      <c r="AB15" s="5">
        <v>160</v>
      </c>
      <c r="AC15" s="5">
        <v>1</v>
      </c>
      <c r="AD15" s="5"/>
      <c r="AE15" s="5" t="s">
        <v>10</v>
      </c>
      <c r="AF15" s="5" t="s">
        <v>40</v>
      </c>
      <c r="AG15" s="5">
        <v>340</v>
      </c>
      <c r="AH15" s="5">
        <v>220</v>
      </c>
      <c r="AI15" s="5">
        <v>3</v>
      </c>
    </row>
    <row r="16" spans="1:35">
      <c r="A16" s="5" t="s">
        <v>10</v>
      </c>
      <c r="B16" s="5" t="s">
        <v>21</v>
      </c>
      <c r="C16" s="5">
        <v>120</v>
      </c>
      <c r="D16" s="5">
        <v>0</v>
      </c>
      <c r="E16" s="5">
        <v>0</v>
      </c>
      <c r="F16" s="5"/>
      <c r="G16" s="5" t="s">
        <v>17</v>
      </c>
      <c r="H16" s="5" t="s">
        <v>11</v>
      </c>
      <c r="I16" s="5">
        <v>300</v>
      </c>
      <c r="J16" s="5">
        <v>0</v>
      </c>
      <c r="K16" s="5">
        <v>1</v>
      </c>
      <c r="L16" s="5"/>
      <c r="M16" s="5" t="s">
        <v>19</v>
      </c>
      <c r="N16" s="5" t="s">
        <v>34</v>
      </c>
      <c r="O16" s="5">
        <v>2300</v>
      </c>
      <c r="P16" s="5">
        <v>2707</v>
      </c>
      <c r="Q16" s="5">
        <v>23</v>
      </c>
      <c r="R16" s="5"/>
      <c r="S16" s="5" t="s">
        <v>19</v>
      </c>
      <c r="T16" s="5" t="s">
        <v>34</v>
      </c>
      <c r="U16" s="5">
        <v>1600</v>
      </c>
      <c r="V16" s="5">
        <v>1100</v>
      </c>
      <c r="W16" s="5">
        <v>5</v>
      </c>
      <c r="X16" s="5"/>
      <c r="Y16" s="5" t="s">
        <v>26</v>
      </c>
      <c r="Z16" s="5" t="s">
        <v>43</v>
      </c>
      <c r="AA16" s="5">
        <v>590</v>
      </c>
      <c r="AB16" s="5">
        <v>430</v>
      </c>
      <c r="AC16" s="5">
        <v>4</v>
      </c>
      <c r="AD16" s="5"/>
      <c r="AE16" s="5" t="s">
        <v>29</v>
      </c>
      <c r="AF16" s="5" t="s">
        <v>25</v>
      </c>
      <c r="AG16" s="5">
        <v>120</v>
      </c>
      <c r="AH16" s="5">
        <v>0</v>
      </c>
      <c r="AI16" s="5">
        <v>1</v>
      </c>
    </row>
    <row r="17" spans="1:35">
      <c r="A17" s="5" t="s">
        <v>17</v>
      </c>
      <c r="B17" s="5" t="s">
        <v>11</v>
      </c>
      <c r="C17" s="5">
        <v>540</v>
      </c>
      <c r="D17" s="5">
        <v>0</v>
      </c>
      <c r="E17" s="5">
        <v>3</v>
      </c>
      <c r="F17" s="5"/>
      <c r="G17" s="4" t="s">
        <v>27</v>
      </c>
      <c r="H17" s="5" t="s">
        <v>25</v>
      </c>
      <c r="I17" s="5">
        <v>980</v>
      </c>
      <c r="J17" s="5">
        <v>0</v>
      </c>
      <c r="K17" s="5">
        <v>8</v>
      </c>
      <c r="L17" s="5"/>
      <c r="M17" s="5" t="s">
        <v>10</v>
      </c>
      <c r="N17" s="5" t="s">
        <v>34</v>
      </c>
      <c r="O17" s="5">
        <v>1468</v>
      </c>
      <c r="P17" s="5">
        <v>332</v>
      </c>
      <c r="Q17" s="5">
        <v>12</v>
      </c>
      <c r="R17" s="5"/>
      <c r="S17" s="5" t="s">
        <v>10</v>
      </c>
      <c r="T17" s="5" t="s">
        <v>34</v>
      </c>
      <c r="U17" s="5">
        <v>580</v>
      </c>
      <c r="V17" s="5">
        <v>1480</v>
      </c>
      <c r="W17" s="5">
        <v>10</v>
      </c>
      <c r="X17" s="5"/>
      <c r="Y17" s="5" t="s">
        <v>26</v>
      </c>
      <c r="Z17" s="5" t="s">
        <v>40</v>
      </c>
      <c r="AA17" s="5">
        <v>190</v>
      </c>
      <c r="AB17" s="5">
        <v>150</v>
      </c>
      <c r="AC17" s="5">
        <v>1</v>
      </c>
      <c r="AD17" s="5"/>
      <c r="AE17" s="5" t="s">
        <v>20</v>
      </c>
      <c r="AF17" s="5" t="s">
        <v>44</v>
      </c>
      <c r="AG17" s="5">
        <v>2700</v>
      </c>
      <c r="AH17" s="5">
        <v>2260</v>
      </c>
      <c r="AI17" s="5">
        <v>22</v>
      </c>
    </row>
    <row r="18" spans="1:35">
      <c r="A18" s="5" t="s">
        <v>24</v>
      </c>
      <c r="B18" s="5" t="s">
        <v>25</v>
      </c>
      <c r="C18" s="5">
        <v>80</v>
      </c>
      <c r="D18" s="5">
        <v>0</v>
      </c>
      <c r="E18" s="5">
        <v>0</v>
      </c>
      <c r="F18" s="5"/>
      <c r="G18" s="5" t="s">
        <v>29</v>
      </c>
      <c r="H18" s="5" t="s">
        <v>25</v>
      </c>
      <c r="I18" s="5">
        <v>500</v>
      </c>
      <c r="J18" s="5">
        <v>0</v>
      </c>
      <c r="K18" s="5">
        <v>3</v>
      </c>
      <c r="L18" s="5"/>
      <c r="M18" s="5" t="s">
        <v>41</v>
      </c>
      <c r="N18" s="5" t="s">
        <v>25</v>
      </c>
      <c r="O18" s="5">
        <v>0</v>
      </c>
      <c r="P18" s="5">
        <v>0</v>
      </c>
      <c r="Q18" s="5">
        <v>0</v>
      </c>
      <c r="R18" s="5"/>
      <c r="S18" s="5" t="s">
        <v>41</v>
      </c>
      <c r="T18" s="5" t="s">
        <v>25</v>
      </c>
      <c r="U18" s="5">
        <v>0</v>
      </c>
      <c r="V18" s="5">
        <v>0</v>
      </c>
      <c r="W18" s="5">
        <v>0</v>
      </c>
      <c r="X18" s="5"/>
      <c r="Y18" s="5" t="s">
        <v>27</v>
      </c>
      <c r="Z18" s="5" t="s">
        <v>25</v>
      </c>
      <c r="AA18" s="5">
        <v>110</v>
      </c>
      <c r="AB18" s="5">
        <v>170</v>
      </c>
      <c r="AC18" s="5">
        <v>1</v>
      </c>
      <c r="AD18" s="5"/>
      <c r="AE18" s="5" t="s">
        <v>27</v>
      </c>
      <c r="AF18" s="5" t="s">
        <v>25</v>
      </c>
      <c r="AG18" s="5">
        <v>470</v>
      </c>
      <c r="AH18" s="5">
        <v>210</v>
      </c>
      <c r="AI18" s="5">
        <v>4</v>
      </c>
    </row>
    <row r="19" spans="1:35">
      <c r="A19" s="5" t="s">
        <v>19</v>
      </c>
      <c r="B19" s="5" t="s">
        <v>23</v>
      </c>
      <c r="C19" s="5">
        <v>0</v>
      </c>
      <c r="D19" s="5">
        <v>200</v>
      </c>
      <c r="E19" s="5">
        <v>0</v>
      </c>
      <c r="F19" s="5"/>
      <c r="G19" s="5" t="s">
        <v>13</v>
      </c>
      <c r="H19" s="5" t="s">
        <v>11</v>
      </c>
      <c r="I19" s="5">
        <v>380</v>
      </c>
      <c r="J19" s="5">
        <v>0</v>
      </c>
      <c r="K19" s="5">
        <v>2</v>
      </c>
      <c r="L19" s="5"/>
      <c r="M19" s="5" t="s">
        <v>10</v>
      </c>
      <c r="N19" s="5" t="s">
        <v>34</v>
      </c>
      <c r="O19" s="5">
        <v>3480</v>
      </c>
      <c r="P19" s="5">
        <v>460</v>
      </c>
      <c r="Q19" s="5">
        <v>32</v>
      </c>
      <c r="R19" s="5"/>
      <c r="S19" s="5" t="s">
        <v>10</v>
      </c>
      <c r="T19" s="5" t="s">
        <v>34</v>
      </c>
      <c r="U19" s="5">
        <v>4620</v>
      </c>
      <c r="V19" s="5">
        <v>0</v>
      </c>
      <c r="W19" s="5">
        <v>30</v>
      </c>
      <c r="X19" s="5"/>
      <c r="Y19" s="5" t="s">
        <v>32</v>
      </c>
      <c r="Z19" s="5" t="s">
        <v>40</v>
      </c>
      <c r="AA19" s="5">
        <v>1010</v>
      </c>
      <c r="AB19" s="5">
        <v>2020</v>
      </c>
      <c r="AC19" s="5">
        <v>9</v>
      </c>
      <c r="AD19" s="5"/>
      <c r="AE19" s="5" t="s">
        <v>32</v>
      </c>
      <c r="AF19" s="5" t="s">
        <v>40</v>
      </c>
      <c r="AG19" s="5">
        <v>3100</v>
      </c>
      <c r="AH19" s="5">
        <v>510</v>
      </c>
      <c r="AI19" s="5">
        <v>31</v>
      </c>
    </row>
    <row r="20" spans="1:35">
      <c r="A20" s="5" t="s">
        <v>20</v>
      </c>
      <c r="B20" s="5" t="s">
        <v>21</v>
      </c>
      <c r="C20" s="5">
        <v>3340</v>
      </c>
      <c r="D20" s="5">
        <v>0</v>
      </c>
      <c r="E20" s="5">
        <v>32</v>
      </c>
      <c r="F20" s="5"/>
      <c r="G20" s="5" t="s">
        <v>28</v>
      </c>
      <c r="H20" s="5" t="s">
        <v>11</v>
      </c>
      <c r="I20" s="5">
        <v>1480</v>
      </c>
      <c r="J20" s="5">
        <v>0</v>
      </c>
      <c r="K20" s="5">
        <v>13</v>
      </c>
      <c r="L20" s="5"/>
      <c r="M20" s="5" t="s">
        <v>10</v>
      </c>
      <c r="N20" s="5" t="s">
        <v>21</v>
      </c>
      <c r="O20" s="5">
        <v>260</v>
      </c>
      <c r="P20" s="5">
        <v>40</v>
      </c>
      <c r="Q20" s="5">
        <v>2</v>
      </c>
      <c r="R20" s="5"/>
      <c r="S20" s="5" t="s">
        <v>10</v>
      </c>
      <c r="T20" s="5" t="s">
        <v>21</v>
      </c>
      <c r="U20" s="5">
        <v>340</v>
      </c>
      <c r="V20" s="5">
        <v>2200</v>
      </c>
      <c r="W20" s="5">
        <v>2</v>
      </c>
      <c r="X20" s="5"/>
      <c r="Y20" s="5" t="s">
        <v>28</v>
      </c>
      <c r="Z20" s="5" t="s">
        <v>43</v>
      </c>
      <c r="AA20" s="5">
        <v>130</v>
      </c>
      <c r="AB20" s="5">
        <v>170</v>
      </c>
      <c r="AC20" s="5">
        <v>1</v>
      </c>
      <c r="AD20" s="5"/>
      <c r="AE20" s="5" t="s">
        <v>28</v>
      </c>
      <c r="AF20" s="5" t="s">
        <v>43</v>
      </c>
      <c r="AG20" s="5">
        <v>470</v>
      </c>
      <c r="AH20" s="5">
        <v>880</v>
      </c>
      <c r="AI20" s="5">
        <v>3</v>
      </c>
    </row>
    <row r="21" spans="1:35">
      <c r="A21" s="5" t="s">
        <v>10</v>
      </c>
      <c r="B21" s="5" t="s">
        <v>21</v>
      </c>
      <c r="C21" s="5">
        <v>240</v>
      </c>
      <c r="D21" s="5">
        <v>0</v>
      </c>
      <c r="E21" s="5">
        <v>0</v>
      </c>
      <c r="F21" s="5"/>
      <c r="G21" s="5" t="s">
        <v>30</v>
      </c>
      <c r="H21" s="5" t="s">
        <v>25</v>
      </c>
      <c r="I21" s="5">
        <v>1500</v>
      </c>
      <c r="J21" s="5">
        <v>0</v>
      </c>
      <c r="K21" s="5">
        <v>13</v>
      </c>
      <c r="L21" s="5"/>
      <c r="M21" s="5" t="s">
        <v>10</v>
      </c>
      <c r="N21" s="5" t="s">
        <v>23</v>
      </c>
      <c r="O21" s="5">
        <v>260</v>
      </c>
      <c r="P21" s="5">
        <v>60</v>
      </c>
      <c r="Q21" s="5">
        <v>1</v>
      </c>
      <c r="R21" s="5"/>
      <c r="S21" s="5" t="s">
        <v>10</v>
      </c>
      <c r="T21" s="5" t="s">
        <v>23</v>
      </c>
      <c r="U21" s="5">
        <v>360</v>
      </c>
      <c r="V21" s="5">
        <v>3190</v>
      </c>
      <c r="W21" s="5">
        <v>0</v>
      </c>
      <c r="X21" s="5"/>
      <c r="Y21" s="5" t="s">
        <v>35</v>
      </c>
      <c r="Z21" s="5" t="s">
        <v>25</v>
      </c>
      <c r="AA21" s="5">
        <v>100</v>
      </c>
      <c r="AB21" s="5">
        <v>40</v>
      </c>
      <c r="AC21" s="5">
        <v>1</v>
      </c>
      <c r="AD21" s="5"/>
      <c r="AE21" s="5" t="s">
        <v>45</v>
      </c>
      <c r="AF21" s="5" t="s">
        <v>25</v>
      </c>
      <c r="AG21" s="5">
        <v>420</v>
      </c>
      <c r="AH21" s="5">
        <v>80</v>
      </c>
      <c r="AI21" s="5">
        <v>4</v>
      </c>
    </row>
    <row r="22" spans="1:35">
      <c r="A22" s="5" t="s">
        <v>10</v>
      </c>
      <c r="B22" s="5" t="s">
        <v>23</v>
      </c>
      <c r="C22" s="5">
        <v>240</v>
      </c>
      <c r="D22" s="5">
        <v>0</v>
      </c>
      <c r="E22" s="5">
        <v>0</v>
      </c>
      <c r="F22" s="5"/>
      <c r="G22" s="5" t="s">
        <v>31</v>
      </c>
      <c r="H22" s="5" t="s">
        <v>11</v>
      </c>
      <c r="I22" s="5">
        <v>420</v>
      </c>
      <c r="J22" s="5">
        <v>0</v>
      </c>
      <c r="K22" s="5">
        <v>3</v>
      </c>
      <c r="L22" s="5"/>
      <c r="M22" s="5" t="s">
        <v>10</v>
      </c>
      <c r="N22" s="5" t="s">
        <v>40</v>
      </c>
      <c r="O22" s="5">
        <v>120</v>
      </c>
      <c r="P22" s="5">
        <v>60</v>
      </c>
      <c r="Q22" s="5">
        <v>1</v>
      </c>
      <c r="R22" s="5"/>
      <c r="S22" s="5" t="s">
        <v>10</v>
      </c>
      <c r="T22" s="5" t="s">
        <v>40</v>
      </c>
      <c r="U22" s="5">
        <v>160</v>
      </c>
      <c r="V22" s="5">
        <v>0</v>
      </c>
      <c r="W22" s="5">
        <v>1</v>
      </c>
      <c r="X22" s="5"/>
      <c r="Y22" s="5" t="s">
        <v>30</v>
      </c>
      <c r="Z22" s="5" t="s">
        <v>25</v>
      </c>
      <c r="AA22" s="5">
        <v>340</v>
      </c>
      <c r="AB22" s="5">
        <v>320</v>
      </c>
      <c r="AC22" s="5">
        <v>3</v>
      </c>
      <c r="AD22" s="5"/>
      <c r="AE22" s="5" t="s">
        <v>30</v>
      </c>
      <c r="AF22" s="5" t="s">
        <v>25</v>
      </c>
      <c r="AG22" s="5">
        <v>1230</v>
      </c>
      <c r="AH22" s="5">
        <v>230</v>
      </c>
      <c r="AI22" s="5">
        <v>12</v>
      </c>
    </row>
    <row r="23" spans="1:35">
      <c r="A23" s="5" t="s">
        <v>10</v>
      </c>
      <c r="B23" s="5" t="s">
        <v>11</v>
      </c>
      <c r="C23" s="5">
        <v>260</v>
      </c>
      <c r="D23" s="5">
        <v>0</v>
      </c>
      <c r="E23" s="5">
        <v>0</v>
      </c>
      <c r="F23" s="5"/>
      <c r="G23" s="5" t="s">
        <v>32</v>
      </c>
      <c r="H23" s="5" t="s">
        <v>33</v>
      </c>
      <c r="I23" s="5">
        <v>800</v>
      </c>
      <c r="J23" s="5">
        <v>0</v>
      </c>
      <c r="K23" s="5">
        <v>7</v>
      </c>
      <c r="L23" s="5"/>
      <c r="M23" s="5" t="s">
        <v>29</v>
      </c>
      <c r="N23" s="5" t="s">
        <v>25</v>
      </c>
      <c r="O23" s="5">
        <v>320</v>
      </c>
      <c r="P23" s="5">
        <v>180</v>
      </c>
      <c r="Q23" s="5">
        <v>3</v>
      </c>
      <c r="R23" s="5"/>
      <c r="S23" s="5" t="s">
        <v>26</v>
      </c>
      <c r="T23" s="5" t="s">
        <v>25</v>
      </c>
      <c r="U23" s="5">
        <v>466</v>
      </c>
      <c r="V23" s="5">
        <v>1474</v>
      </c>
      <c r="W23" s="5">
        <v>3</v>
      </c>
      <c r="X23" s="5"/>
      <c r="Y23" s="5" t="s">
        <v>36</v>
      </c>
      <c r="Z23" s="5" t="s">
        <v>25</v>
      </c>
      <c r="AA23" s="5">
        <v>0</v>
      </c>
      <c r="AB23" s="5">
        <v>260</v>
      </c>
      <c r="AC23" s="5">
        <v>0</v>
      </c>
      <c r="AD23" s="5"/>
      <c r="AE23" s="5" t="s">
        <v>36</v>
      </c>
      <c r="AF23" s="5" t="s">
        <v>25</v>
      </c>
      <c r="AG23" s="5">
        <v>450</v>
      </c>
      <c r="AH23" s="5">
        <v>290</v>
      </c>
      <c r="AI23" s="5">
        <v>4</v>
      </c>
    </row>
    <row r="24" spans="1:35">
      <c r="A24" s="5" t="s">
        <v>20</v>
      </c>
      <c r="B24" s="5" t="s">
        <v>21</v>
      </c>
      <c r="C24" s="5">
        <v>5140</v>
      </c>
      <c r="D24" s="5">
        <v>0</v>
      </c>
      <c r="E24" s="5">
        <v>31</v>
      </c>
      <c r="F24" s="5"/>
      <c r="G24" s="4" t="s">
        <v>26</v>
      </c>
      <c r="H24" s="5" t="s">
        <v>25</v>
      </c>
      <c r="I24" s="5">
        <v>1320</v>
      </c>
      <c r="J24" s="5">
        <v>0</v>
      </c>
      <c r="K24" s="5">
        <v>11</v>
      </c>
      <c r="L24" s="5"/>
      <c r="M24" s="5" t="s">
        <v>20</v>
      </c>
      <c r="N24" s="5" t="s">
        <v>21</v>
      </c>
      <c r="O24" s="5">
        <v>580</v>
      </c>
      <c r="P24" s="5">
        <v>180</v>
      </c>
      <c r="Q24" s="5">
        <v>5</v>
      </c>
      <c r="R24" s="5"/>
      <c r="S24" s="5" t="s">
        <v>27</v>
      </c>
      <c r="T24" s="5" t="s">
        <v>25</v>
      </c>
      <c r="U24" s="5">
        <v>180</v>
      </c>
      <c r="V24" s="5">
        <v>80</v>
      </c>
      <c r="W24" s="5">
        <v>1</v>
      </c>
      <c r="X24" s="5"/>
      <c r="Y24" s="5" t="s">
        <v>37</v>
      </c>
      <c r="Z24" s="5" t="s">
        <v>40</v>
      </c>
      <c r="AA24" s="5">
        <v>500</v>
      </c>
      <c r="AB24" s="5">
        <v>220</v>
      </c>
      <c r="AC24" s="5">
        <v>5</v>
      </c>
      <c r="AD24" s="5"/>
      <c r="AE24" s="5" t="s">
        <v>37</v>
      </c>
      <c r="AF24" s="5" t="s">
        <v>40</v>
      </c>
      <c r="AG24" s="5">
        <v>1020</v>
      </c>
      <c r="AH24" s="5">
        <v>0</v>
      </c>
      <c r="AI24" s="5">
        <v>7</v>
      </c>
    </row>
    <row r="25" spans="1:35">
      <c r="A25" s="5" t="s">
        <v>19</v>
      </c>
      <c r="B25" s="5" t="s">
        <v>23</v>
      </c>
      <c r="C25" s="5">
        <v>440</v>
      </c>
      <c r="D25" s="5">
        <v>0</v>
      </c>
      <c r="E25" s="5">
        <v>4</v>
      </c>
      <c r="F25" s="5"/>
      <c r="G25" s="5" t="s">
        <v>20</v>
      </c>
      <c r="H25" s="5" t="s">
        <v>21</v>
      </c>
      <c r="I25" s="5">
        <v>1460</v>
      </c>
      <c r="J25" s="5">
        <v>0</v>
      </c>
      <c r="K25" s="5">
        <v>12</v>
      </c>
      <c r="L25" s="5"/>
      <c r="M25" s="5" t="s">
        <v>26</v>
      </c>
      <c r="N25" s="5" t="s">
        <v>25</v>
      </c>
      <c r="O25" s="5">
        <v>220</v>
      </c>
      <c r="P25" s="5">
        <v>180</v>
      </c>
      <c r="Q25" s="5">
        <v>2</v>
      </c>
      <c r="R25" s="5"/>
      <c r="S25" s="5" t="s">
        <v>32</v>
      </c>
      <c r="T25" s="5" t="s">
        <v>42</v>
      </c>
      <c r="U25" s="5">
        <v>50</v>
      </c>
      <c r="V25" s="5">
        <v>1320</v>
      </c>
      <c r="W25" s="5">
        <v>0</v>
      </c>
      <c r="X25" s="5"/>
      <c r="Y25" s="5" t="s">
        <v>10</v>
      </c>
      <c r="Z25" s="5" t="s">
        <v>43</v>
      </c>
      <c r="AA25" s="5">
        <v>420</v>
      </c>
      <c r="AB25" s="5">
        <v>1820</v>
      </c>
      <c r="AC25" s="5">
        <v>4</v>
      </c>
      <c r="AD25" s="5"/>
      <c r="AE25" s="5" t="s">
        <v>13</v>
      </c>
      <c r="AF25" s="5" t="s">
        <v>25</v>
      </c>
      <c r="AG25" s="5">
        <v>450</v>
      </c>
      <c r="AH25" s="5">
        <v>350</v>
      </c>
      <c r="AI25" s="5">
        <v>4</v>
      </c>
    </row>
    <row r="26" spans="1:35">
      <c r="A26" s="5" t="s">
        <v>24</v>
      </c>
      <c r="B26" s="5" t="s">
        <v>25</v>
      </c>
      <c r="C26" s="5">
        <v>120</v>
      </c>
      <c r="D26" s="5">
        <v>0</v>
      </c>
      <c r="E26" s="5">
        <v>0</v>
      </c>
      <c r="F26" s="5"/>
      <c r="G26" s="4" t="s">
        <v>19</v>
      </c>
      <c r="H26" s="5" t="s">
        <v>23</v>
      </c>
      <c r="I26" s="5">
        <v>1240</v>
      </c>
      <c r="J26" s="5">
        <v>0</v>
      </c>
      <c r="K26" s="5">
        <v>10</v>
      </c>
      <c r="L26" s="5"/>
      <c r="M26" s="5" t="s">
        <v>27</v>
      </c>
      <c r="N26" s="5" t="s">
        <v>25</v>
      </c>
      <c r="O26" s="5">
        <v>520</v>
      </c>
      <c r="P26" s="5">
        <v>120</v>
      </c>
      <c r="Q26" s="5">
        <v>5</v>
      </c>
      <c r="R26" s="5"/>
      <c r="S26" s="5" t="s">
        <v>28</v>
      </c>
      <c r="T26" s="5" t="s">
        <v>43</v>
      </c>
      <c r="U26" s="5">
        <v>0</v>
      </c>
      <c r="V26" s="5">
        <v>634</v>
      </c>
      <c r="W26" s="5">
        <v>0</v>
      </c>
      <c r="X26" s="5"/>
      <c r="Y26" s="5" t="s">
        <v>10</v>
      </c>
      <c r="Z26" s="5" t="s">
        <v>21</v>
      </c>
      <c r="AA26" s="5">
        <v>110</v>
      </c>
      <c r="AB26" s="5">
        <v>150</v>
      </c>
      <c r="AC26" s="5">
        <v>1</v>
      </c>
      <c r="AD26" s="5"/>
      <c r="AE26" s="5" t="s">
        <v>19</v>
      </c>
      <c r="AF26" s="5" t="s">
        <v>23</v>
      </c>
      <c r="AG26" s="5">
        <v>5420</v>
      </c>
      <c r="AH26" s="5">
        <v>500</v>
      </c>
      <c r="AI26" s="5">
        <v>39</v>
      </c>
    </row>
    <row r="27" spans="1:35">
      <c r="A27" s="5" t="s">
        <v>10</v>
      </c>
      <c r="B27" s="5" t="s">
        <v>11</v>
      </c>
      <c r="C27" s="5">
        <v>120</v>
      </c>
      <c r="D27" s="5">
        <v>0</v>
      </c>
      <c r="E27" s="5">
        <v>0</v>
      </c>
      <c r="F27" s="5"/>
      <c r="G27" s="5" t="s">
        <v>19</v>
      </c>
      <c r="H27" s="5" t="s">
        <v>25</v>
      </c>
      <c r="I27" s="5">
        <v>820</v>
      </c>
      <c r="J27" s="5">
        <v>0</v>
      </c>
      <c r="K27" s="5">
        <v>7</v>
      </c>
      <c r="L27" s="5"/>
      <c r="M27" s="5" t="s">
        <v>32</v>
      </c>
      <c r="N27" s="5" t="s">
        <v>40</v>
      </c>
      <c r="O27" s="5">
        <v>1200</v>
      </c>
      <c r="P27" s="5">
        <v>1640</v>
      </c>
      <c r="Q27" s="5">
        <v>11</v>
      </c>
      <c r="R27" s="5"/>
      <c r="S27" s="5" t="s">
        <v>30</v>
      </c>
      <c r="T27" s="5" t="s">
        <v>25</v>
      </c>
      <c r="U27" s="5">
        <v>0</v>
      </c>
      <c r="V27" s="5">
        <v>40</v>
      </c>
      <c r="W27" s="5">
        <v>0</v>
      </c>
      <c r="X27" s="5"/>
      <c r="Y27" s="5" t="s">
        <v>10</v>
      </c>
      <c r="Z27" s="5" t="s">
        <v>23</v>
      </c>
      <c r="AA27" s="5">
        <v>320</v>
      </c>
      <c r="AB27" s="5">
        <v>160</v>
      </c>
      <c r="AC27" s="5">
        <v>3</v>
      </c>
      <c r="AD27" s="5"/>
      <c r="AE27" s="7" t="s">
        <v>19</v>
      </c>
      <c r="AF27" s="7" t="s">
        <v>43</v>
      </c>
      <c r="AG27" s="7">
        <v>3060</v>
      </c>
      <c r="AH27" s="7">
        <v>1580</v>
      </c>
      <c r="AI27" s="7">
        <v>22</v>
      </c>
    </row>
    <row r="28" spans="1:35">
      <c r="A28" s="5" t="s">
        <v>10</v>
      </c>
      <c r="B28" s="5" t="s">
        <v>23</v>
      </c>
      <c r="C28" s="5">
        <v>220</v>
      </c>
      <c r="D28" s="5">
        <v>0</v>
      </c>
      <c r="E28" s="5">
        <v>0</v>
      </c>
      <c r="F28" s="5"/>
      <c r="G28" s="4" t="s">
        <v>10</v>
      </c>
      <c r="H28" s="5" t="s">
        <v>11</v>
      </c>
      <c r="I28" s="5">
        <v>2300</v>
      </c>
      <c r="J28" s="5">
        <v>0</v>
      </c>
      <c r="K28" s="5">
        <v>21</v>
      </c>
      <c r="L28" s="5"/>
      <c r="M28" s="5" t="s">
        <v>28</v>
      </c>
      <c r="N28" s="5" t="s">
        <v>34</v>
      </c>
      <c r="O28" s="5">
        <v>850</v>
      </c>
      <c r="P28" s="5">
        <v>230</v>
      </c>
      <c r="Q28" s="5">
        <v>4</v>
      </c>
      <c r="R28" s="5"/>
      <c r="S28" s="5" t="s">
        <v>36</v>
      </c>
      <c r="T28" s="5" t="s">
        <v>25</v>
      </c>
      <c r="U28" s="5">
        <v>76</v>
      </c>
      <c r="V28" s="5">
        <v>104</v>
      </c>
      <c r="W28" s="5">
        <v>0</v>
      </c>
      <c r="X28" s="5"/>
      <c r="Y28" s="5" t="s">
        <v>10</v>
      </c>
      <c r="Z28" s="5" t="s">
        <v>40</v>
      </c>
      <c r="AA28" s="5">
        <v>120</v>
      </c>
      <c r="AB28" s="5">
        <v>220</v>
      </c>
      <c r="AC28" s="5">
        <v>1</v>
      </c>
      <c r="AD28" s="5"/>
      <c r="AE28" s="5" t="s">
        <v>29</v>
      </c>
      <c r="AF28" s="5" t="s">
        <v>25</v>
      </c>
      <c r="AG28" s="8">
        <v>0</v>
      </c>
      <c r="AH28" s="5">
        <v>120</v>
      </c>
      <c r="AI28" s="5">
        <v>0</v>
      </c>
    </row>
    <row r="29" spans="1:35">
      <c r="A29" s="5" t="s">
        <v>10</v>
      </c>
      <c r="B29" s="5" t="s">
        <v>21</v>
      </c>
      <c r="C29" s="5">
        <v>480</v>
      </c>
      <c r="D29" s="5">
        <v>0</v>
      </c>
      <c r="E29" s="5">
        <v>0</v>
      </c>
      <c r="F29" s="5"/>
      <c r="G29" s="4" t="s">
        <v>10</v>
      </c>
      <c r="H29" s="5" t="s">
        <v>23</v>
      </c>
      <c r="I29" s="5">
        <v>500</v>
      </c>
      <c r="J29" s="5">
        <v>0</v>
      </c>
      <c r="K29" s="5">
        <v>2</v>
      </c>
      <c r="L29" s="5"/>
      <c r="M29" s="5" t="s">
        <v>35</v>
      </c>
      <c r="N29" s="5" t="s">
        <v>25</v>
      </c>
      <c r="O29" s="5">
        <v>510</v>
      </c>
      <c r="P29" s="5">
        <v>90</v>
      </c>
      <c r="Q29" s="5">
        <v>5</v>
      </c>
      <c r="R29" s="5"/>
      <c r="S29" s="5" t="s">
        <v>37</v>
      </c>
      <c r="T29" s="5" t="s">
        <v>42</v>
      </c>
      <c r="U29" s="5">
        <v>460</v>
      </c>
      <c r="V29" s="5">
        <v>1620</v>
      </c>
      <c r="W29" s="5">
        <v>3</v>
      </c>
      <c r="X29" s="5"/>
      <c r="Y29" s="5" t="s">
        <v>29</v>
      </c>
      <c r="Z29" s="5" t="s">
        <v>25</v>
      </c>
      <c r="AA29" s="5">
        <v>0</v>
      </c>
      <c r="AB29" s="5">
        <v>630</v>
      </c>
      <c r="AC29" s="5">
        <v>0</v>
      </c>
      <c r="AD29" s="5"/>
      <c r="AE29" s="5" t="s">
        <v>20</v>
      </c>
      <c r="AF29" s="5" t="s">
        <v>21</v>
      </c>
      <c r="AG29" s="8">
        <v>1280</v>
      </c>
      <c r="AH29" s="5">
        <v>4980</v>
      </c>
      <c r="AI29" s="5">
        <v>11</v>
      </c>
    </row>
    <row r="30" spans="1:35">
      <c r="A30" s="5" t="s">
        <v>20</v>
      </c>
      <c r="B30" s="5" t="s">
        <v>21</v>
      </c>
      <c r="C30" s="5">
        <v>840</v>
      </c>
      <c r="D30" s="5">
        <v>0</v>
      </c>
      <c r="E30" s="5">
        <v>0</v>
      </c>
      <c r="F30" s="5"/>
      <c r="G30" s="4" t="s">
        <v>10</v>
      </c>
      <c r="H30" s="5" t="s">
        <v>21</v>
      </c>
      <c r="I30" s="5">
        <v>520</v>
      </c>
      <c r="J30" s="5">
        <v>0</v>
      </c>
      <c r="K30" s="5">
        <v>2</v>
      </c>
      <c r="L30" s="5"/>
      <c r="M30" s="5" t="s">
        <v>30</v>
      </c>
      <c r="N30" s="5" t="s">
        <v>25</v>
      </c>
      <c r="O30" s="5">
        <v>2440</v>
      </c>
      <c r="P30" s="5">
        <v>340</v>
      </c>
      <c r="Q30" s="5">
        <v>16</v>
      </c>
      <c r="R30" s="5"/>
      <c r="S30" s="5" t="s">
        <v>17</v>
      </c>
      <c r="T30" s="5" t="s">
        <v>43</v>
      </c>
      <c r="U30" s="5">
        <v>0</v>
      </c>
      <c r="V30" s="5">
        <v>180</v>
      </c>
      <c r="W30" s="5">
        <v>0</v>
      </c>
      <c r="X30" s="5"/>
      <c r="Y30" s="5" t="s">
        <v>20</v>
      </c>
      <c r="Z30" s="5" t="s">
        <v>21</v>
      </c>
      <c r="AA30" s="5">
        <v>2800</v>
      </c>
      <c r="AB30" s="5">
        <v>1060</v>
      </c>
      <c r="AC30" s="5">
        <v>24</v>
      </c>
      <c r="AD30" s="5"/>
      <c r="AE30" s="5" t="s">
        <v>27</v>
      </c>
      <c r="AF30" s="5" t="s">
        <v>25</v>
      </c>
      <c r="AG30" s="8">
        <v>750</v>
      </c>
      <c r="AH30" s="5">
        <v>450</v>
      </c>
      <c r="AI30" s="5">
        <v>7</v>
      </c>
    </row>
    <row r="31" spans="1:35">
      <c r="A31" s="5" t="s">
        <v>20</v>
      </c>
      <c r="B31" s="5" t="s">
        <v>21</v>
      </c>
      <c r="C31" s="5">
        <v>1600</v>
      </c>
      <c r="D31" s="5">
        <v>500</v>
      </c>
      <c r="E31" s="5">
        <v>15</v>
      </c>
      <c r="F31" s="5"/>
      <c r="G31" s="4" t="s">
        <v>10</v>
      </c>
      <c r="H31" s="5" t="s">
        <v>33</v>
      </c>
      <c r="I31" s="5">
        <v>300</v>
      </c>
      <c r="J31" s="5">
        <v>0</v>
      </c>
      <c r="K31" s="5">
        <v>1</v>
      </c>
      <c r="L31" s="5"/>
      <c r="M31" s="5" t="s">
        <v>36</v>
      </c>
      <c r="N31" s="5" t="s">
        <v>25</v>
      </c>
      <c r="O31" s="5">
        <v>550</v>
      </c>
      <c r="P31" s="5">
        <v>230</v>
      </c>
      <c r="Q31" s="5">
        <v>5</v>
      </c>
      <c r="R31" s="5"/>
      <c r="S31" s="5" t="s">
        <v>19</v>
      </c>
      <c r="T31" s="5" t="s">
        <v>23</v>
      </c>
      <c r="U31" s="5">
        <v>551</v>
      </c>
      <c r="V31" s="5">
        <v>479</v>
      </c>
      <c r="W31" s="5">
        <v>5</v>
      </c>
      <c r="X31" s="5"/>
      <c r="Y31" s="5" t="s">
        <v>27</v>
      </c>
      <c r="Z31" s="5" t="s">
        <v>25</v>
      </c>
      <c r="AA31" s="5">
        <v>310</v>
      </c>
      <c r="AB31" s="5">
        <v>190</v>
      </c>
      <c r="AC31" s="5">
        <v>4</v>
      </c>
      <c r="AD31" s="5"/>
      <c r="AE31" s="5" t="s">
        <v>32</v>
      </c>
      <c r="AF31" s="5" t="s">
        <v>40</v>
      </c>
      <c r="AG31" s="8">
        <v>1760</v>
      </c>
      <c r="AH31" s="5">
        <v>620</v>
      </c>
      <c r="AI31" s="5">
        <v>15</v>
      </c>
    </row>
    <row r="32" spans="1:35">
      <c r="A32" s="5" t="s">
        <v>19</v>
      </c>
      <c r="B32" s="5" t="s">
        <v>23</v>
      </c>
      <c r="C32" s="5">
        <v>960</v>
      </c>
      <c r="D32" s="5">
        <v>560</v>
      </c>
      <c r="E32" s="5">
        <v>8</v>
      </c>
      <c r="F32" s="5"/>
      <c r="G32" s="5" t="s">
        <v>29</v>
      </c>
      <c r="H32" s="5" t="s">
        <v>25</v>
      </c>
      <c r="I32" s="5">
        <v>740</v>
      </c>
      <c r="J32" s="5">
        <v>0</v>
      </c>
      <c r="K32" s="5">
        <v>6</v>
      </c>
      <c r="L32" s="5"/>
      <c r="M32" s="5" t="s">
        <v>37</v>
      </c>
      <c r="N32" s="5" t="s">
        <v>40</v>
      </c>
      <c r="O32" s="5">
        <v>1370</v>
      </c>
      <c r="P32" s="5">
        <v>1430</v>
      </c>
      <c r="Q32" s="5">
        <v>11</v>
      </c>
      <c r="R32" s="5"/>
      <c r="S32" s="5" t="s">
        <v>31</v>
      </c>
      <c r="T32" s="5" t="s">
        <v>43</v>
      </c>
      <c r="U32" s="5">
        <v>0</v>
      </c>
      <c r="V32" s="5">
        <v>240</v>
      </c>
      <c r="W32" s="5">
        <v>0</v>
      </c>
      <c r="X32" s="5"/>
      <c r="Y32" s="5" t="s">
        <v>32</v>
      </c>
      <c r="Z32" s="5" t="s">
        <v>40</v>
      </c>
      <c r="AA32" s="5">
        <v>2270</v>
      </c>
      <c r="AB32" s="5">
        <v>1650</v>
      </c>
      <c r="AC32" s="5">
        <v>21</v>
      </c>
      <c r="AD32" s="5"/>
      <c r="AE32" s="5" t="s">
        <v>28</v>
      </c>
      <c r="AF32" s="5" t="s">
        <v>43</v>
      </c>
      <c r="AG32" s="8">
        <v>900</v>
      </c>
      <c r="AH32" s="5">
        <v>870</v>
      </c>
      <c r="AI32" s="5">
        <v>7</v>
      </c>
    </row>
    <row r="33" spans="1:35">
      <c r="A33" s="5" t="s">
        <v>17</v>
      </c>
      <c r="B33" s="5" t="s">
        <v>11</v>
      </c>
      <c r="C33" s="5">
        <v>80</v>
      </c>
      <c r="D33" s="5">
        <v>0</v>
      </c>
      <c r="E33" s="5">
        <v>0</v>
      </c>
      <c r="F33" s="5"/>
      <c r="G33" s="5" t="s">
        <v>20</v>
      </c>
      <c r="H33" s="5" t="s">
        <v>21</v>
      </c>
      <c r="I33" s="5">
        <v>820</v>
      </c>
      <c r="J33" s="5">
        <v>822</v>
      </c>
      <c r="K33" s="5">
        <v>8</v>
      </c>
      <c r="L33" s="5"/>
      <c r="M33" s="5" t="s">
        <v>13</v>
      </c>
      <c r="N33" s="5" t="s">
        <v>25</v>
      </c>
      <c r="O33" s="5">
        <v>0</v>
      </c>
      <c r="P33" s="5">
        <v>0</v>
      </c>
      <c r="Q33" s="5">
        <v>0</v>
      </c>
      <c r="R33" s="5"/>
      <c r="S33" s="5" t="s">
        <v>19</v>
      </c>
      <c r="T33" s="5" t="s">
        <v>43</v>
      </c>
      <c r="U33" s="5">
        <v>0</v>
      </c>
      <c r="V33" s="5">
        <v>630</v>
      </c>
      <c r="W33" s="5">
        <v>0</v>
      </c>
      <c r="X33" s="5"/>
      <c r="Y33" s="5" t="s">
        <v>28</v>
      </c>
      <c r="Z33" s="5" t="s">
        <v>43</v>
      </c>
      <c r="AA33" s="5">
        <v>450</v>
      </c>
      <c r="AB33" s="5">
        <v>260</v>
      </c>
      <c r="AC33" s="5">
        <v>4</v>
      </c>
      <c r="AD33" s="5"/>
      <c r="AE33" s="5" t="s">
        <v>45</v>
      </c>
      <c r="AF33" s="5" t="s">
        <v>25</v>
      </c>
      <c r="AG33" s="8">
        <v>350</v>
      </c>
      <c r="AH33" s="5">
        <v>270</v>
      </c>
      <c r="AI33" s="5">
        <v>2</v>
      </c>
    </row>
    <row r="34" spans="1:35">
      <c r="A34" s="5" t="s">
        <v>26</v>
      </c>
      <c r="B34" s="5" t="s">
        <v>11</v>
      </c>
      <c r="C34" s="5">
        <v>400</v>
      </c>
      <c r="D34" s="5">
        <v>0</v>
      </c>
      <c r="E34" s="5">
        <v>0</v>
      </c>
      <c r="F34" s="5"/>
      <c r="G34" s="5" t="s">
        <v>26</v>
      </c>
      <c r="H34" s="5" t="s">
        <v>25</v>
      </c>
      <c r="I34" s="5">
        <v>886</v>
      </c>
      <c r="J34" s="5">
        <v>654</v>
      </c>
      <c r="K34" s="5">
        <v>8</v>
      </c>
      <c r="L34" s="5"/>
      <c r="M34" s="5" t="s">
        <v>17</v>
      </c>
      <c r="N34" s="5" t="s">
        <v>34</v>
      </c>
      <c r="O34" s="5">
        <v>495</v>
      </c>
      <c r="P34" s="5">
        <v>125</v>
      </c>
      <c r="Q34" s="5">
        <v>3</v>
      </c>
      <c r="R34" s="5"/>
      <c r="S34" s="5" t="s">
        <v>26</v>
      </c>
      <c r="T34" s="5" t="s">
        <v>43</v>
      </c>
      <c r="U34" s="5">
        <v>400</v>
      </c>
      <c r="V34" s="5">
        <v>1240</v>
      </c>
      <c r="W34" s="5">
        <v>3</v>
      </c>
      <c r="X34" s="5"/>
      <c r="Y34" s="5" t="s">
        <v>45</v>
      </c>
      <c r="Z34" s="5" t="s">
        <v>25</v>
      </c>
      <c r="AA34" s="5">
        <v>180</v>
      </c>
      <c r="AB34" s="5">
        <v>100</v>
      </c>
      <c r="AC34" s="5">
        <v>2</v>
      </c>
      <c r="AD34" s="5"/>
      <c r="AE34" s="5" t="s">
        <v>30</v>
      </c>
      <c r="AF34" s="5" t="s">
        <v>25</v>
      </c>
      <c r="AG34" s="8">
        <v>2100</v>
      </c>
      <c r="AH34" s="5">
        <v>480</v>
      </c>
      <c r="AI34" s="5">
        <v>19</v>
      </c>
    </row>
    <row r="35" spans="1:35">
      <c r="A35" s="5" t="s">
        <v>27</v>
      </c>
      <c r="B35" s="5" t="s">
        <v>25</v>
      </c>
      <c r="C35" s="5">
        <v>100</v>
      </c>
      <c r="D35" s="5">
        <v>0</v>
      </c>
      <c r="E35" s="5">
        <v>0</v>
      </c>
      <c r="F35" s="5"/>
      <c r="G35" s="5" t="s">
        <v>27</v>
      </c>
      <c r="H35" s="5" t="s">
        <v>25</v>
      </c>
      <c r="I35" s="5">
        <v>880</v>
      </c>
      <c r="J35" s="5">
        <v>208</v>
      </c>
      <c r="K35" s="5">
        <v>7</v>
      </c>
      <c r="L35" s="5"/>
      <c r="M35" s="5" t="s">
        <v>19</v>
      </c>
      <c r="N35" s="5" t="s">
        <v>23</v>
      </c>
      <c r="O35" s="5">
        <v>1990</v>
      </c>
      <c r="P35" s="5">
        <v>1350</v>
      </c>
      <c r="Q35" s="5">
        <v>17</v>
      </c>
      <c r="R35" s="5"/>
      <c r="S35" s="5" t="s">
        <v>10</v>
      </c>
      <c r="T35" s="5" t="s">
        <v>43</v>
      </c>
      <c r="U35" s="5">
        <v>2420</v>
      </c>
      <c r="V35" s="5">
        <v>4140</v>
      </c>
      <c r="W35" s="5">
        <v>17</v>
      </c>
      <c r="X35" s="5"/>
      <c r="Y35" s="5" t="s">
        <v>30</v>
      </c>
      <c r="Z35" s="5" t="s">
        <v>25</v>
      </c>
      <c r="AA35" s="5">
        <v>320</v>
      </c>
      <c r="AB35" s="5">
        <v>540</v>
      </c>
      <c r="AC35" s="5">
        <v>15</v>
      </c>
      <c r="AD35" s="5"/>
      <c r="AE35" s="5" t="s">
        <v>36</v>
      </c>
      <c r="AF35" s="5" t="s">
        <v>25</v>
      </c>
      <c r="AG35" s="8">
        <v>170</v>
      </c>
      <c r="AH35" s="5">
        <v>330</v>
      </c>
      <c r="AI35" s="5">
        <v>2</v>
      </c>
    </row>
    <row r="36" spans="1:35">
      <c r="A36" s="5" t="s">
        <v>10</v>
      </c>
      <c r="B36" s="5" t="s">
        <v>11</v>
      </c>
      <c r="C36" s="5">
        <v>120</v>
      </c>
      <c r="D36" s="5">
        <v>0</v>
      </c>
      <c r="E36" s="5">
        <v>0</v>
      </c>
      <c r="F36" s="5"/>
      <c r="G36" s="5" t="s">
        <v>28</v>
      </c>
      <c r="H36" s="5" t="s">
        <v>34</v>
      </c>
      <c r="I36" s="5">
        <v>950</v>
      </c>
      <c r="J36" s="5">
        <v>130</v>
      </c>
      <c r="K36" s="5">
        <v>8</v>
      </c>
      <c r="L36" s="5"/>
      <c r="M36" s="5" t="s">
        <v>31</v>
      </c>
      <c r="N36" s="5" t="s">
        <v>34</v>
      </c>
      <c r="O36" s="5">
        <v>240</v>
      </c>
      <c r="P36" s="5">
        <v>720</v>
      </c>
      <c r="Q36" s="5">
        <v>2</v>
      </c>
      <c r="R36" s="5"/>
      <c r="S36" s="5" t="s">
        <v>10</v>
      </c>
      <c r="T36" s="5" t="s">
        <v>44</v>
      </c>
      <c r="U36" s="5">
        <v>340</v>
      </c>
      <c r="V36" s="5">
        <v>0</v>
      </c>
      <c r="W36" s="5">
        <v>2</v>
      </c>
      <c r="X36" s="5"/>
      <c r="Y36" s="5" t="s">
        <v>36</v>
      </c>
      <c r="Z36" s="5" t="s">
        <v>25</v>
      </c>
      <c r="AA36" s="5">
        <v>80</v>
      </c>
      <c r="AB36" s="5">
        <v>240</v>
      </c>
      <c r="AC36" s="5">
        <v>0</v>
      </c>
      <c r="AD36" s="5"/>
      <c r="AE36" s="5" t="s">
        <v>37</v>
      </c>
      <c r="AF36" s="5" t="s">
        <v>40</v>
      </c>
      <c r="AG36" s="8">
        <v>2960</v>
      </c>
      <c r="AH36" s="5">
        <v>360</v>
      </c>
      <c r="AI36" s="5">
        <v>26</v>
      </c>
    </row>
    <row r="37" spans="1:35">
      <c r="A37" s="5" t="s">
        <v>10</v>
      </c>
      <c r="B37" s="5" t="s">
        <v>21</v>
      </c>
      <c r="C37" s="5">
        <v>300</v>
      </c>
      <c r="D37" s="5">
        <v>0</v>
      </c>
      <c r="E37" s="5">
        <v>0</v>
      </c>
      <c r="F37" s="5"/>
      <c r="G37" s="5" t="s">
        <v>35</v>
      </c>
      <c r="H37" s="5" t="s">
        <v>25</v>
      </c>
      <c r="I37" s="5">
        <v>1080</v>
      </c>
      <c r="J37" s="5">
        <v>740</v>
      </c>
      <c r="K37" s="5">
        <v>9</v>
      </c>
      <c r="L37" s="5"/>
      <c r="M37" s="5" t="s">
        <v>19</v>
      </c>
      <c r="N37" s="5" t="s">
        <v>34</v>
      </c>
      <c r="O37" s="5">
        <v>1240</v>
      </c>
      <c r="P37" s="5">
        <v>1532</v>
      </c>
      <c r="Q37" s="5">
        <v>9</v>
      </c>
      <c r="R37" s="5"/>
      <c r="S37" s="5" t="s">
        <v>10</v>
      </c>
      <c r="T37" s="5" t="s">
        <v>23</v>
      </c>
      <c r="U37" s="5">
        <v>0</v>
      </c>
      <c r="V37" s="5">
        <v>720</v>
      </c>
      <c r="W37" s="5">
        <v>0</v>
      </c>
      <c r="X37" s="5"/>
      <c r="Y37" s="5" t="s">
        <v>37</v>
      </c>
      <c r="Z37" s="5" t="s">
        <v>40</v>
      </c>
      <c r="AA37" s="5">
        <v>2890</v>
      </c>
      <c r="AB37" s="5">
        <v>290</v>
      </c>
      <c r="AC37" s="5">
        <v>22</v>
      </c>
      <c r="AD37" s="5"/>
      <c r="AE37" s="5" t="s">
        <v>17</v>
      </c>
      <c r="AF37" s="5" t="s">
        <v>43</v>
      </c>
      <c r="AG37" s="8">
        <v>360</v>
      </c>
      <c r="AH37" s="5">
        <v>200</v>
      </c>
      <c r="AI37" s="5">
        <v>2</v>
      </c>
    </row>
    <row r="38" spans="1:35">
      <c r="A38" s="5" t="s">
        <v>10</v>
      </c>
      <c r="B38" s="5" t="s">
        <v>23</v>
      </c>
      <c r="C38" s="5">
        <v>500</v>
      </c>
      <c r="D38" s="5">
        <v>0</v>
      </c>
      <c r="E38" s="5">
        <v>0</v>
      </c>
      <c r="F38" s="5"/>
      <c r="G38" s="5" t="s">
        <v>30</v>
      </c>
      <c r="H38" s="5" t="s">
        <v>25</v>
      </c>
      <c r="I38" s="5">
        <v>2732</v>
      </c>
      <c r="J38" s="5">
        <v>321</v>
      </c>
      <c r="K38" s="5">
        <v>22</v>
      </c>
      <c r="L38" s="5"/>
      <c r="M38" s="5" t="s">
        <v>10</v>
      </c>
      <c r="N38" s="5" t="s">
        <v>34</v>
      </c>
      <c r="O38" s="5">
        <v>1835</v>
      </c>
      <c r="P38" s="5">
        <v>745</v>
      </c>
      <c r="Q38" s="5">
        <v>18</v>
      </c>
      <c r="R38" s="5"/>
      <c r="S38" s="5" t="s">
        <v>10</v>
      </c>
      <c r="T38" s="5" t="s">
        <v>42</v>
      </c>
      <c r="U38" s="5">
        <v>120</v>
      </c>
      <c r="V38" s="5">
        <v>0</v>
      </c>
      <c r="W38" s="5">
        <v>1</v>
      </c>
      <c r="X38" s="5"/>
      <c r="Y38" s="5" t="s">
        <v>17</v>
      </c>
      <c r="Z38" s="5" t="s">
        <v>43</v>
      </c>
      <c r="AA38" s="5">
        <v>200</v>
      </c>
      <c r="AB38" s="5">
        <v>0</v>
      </c>
      <c r="AC38" s="5">
        <v>2</v>
      </c>
      <c r="AD38" s="5"/>
      <c r="AE38" s="5" t="s">
        <v>19</v>
      </c>
      <c r="AF38" s="5" t="s">
        <v>23</v>
      </c>
      <c r="AG38" s="8">
        <v>4290</v>
      </c>
      <c r="AH38" s="5">
        <v>3330</v>
      </c>
      <c r="AI38" s="5">
        <v>40</v>
      </c>
    </row>
    <row r="39" spans="1:35">
      <c r="G39" s="5" t="s">
        <v>36</v>
      </c>
      <c r="H39" s="5" t="s">
        <v>25</v>
      </c>
      <c r="I39" s="5">
        <v>840</v>
      </c>
      <c r="J39" s="5">
        <v>147</v>
      </c>
      <c r="K39" s="5">
        <v>6</v>
      </c>
      <c r="L39" s="5"/>
      <c r="M39" s="5" t="s">
        <v>41</v>
      </c>
      <c r="N39" s="5" t="s">
        <v>25</v>
      </c>
      <c r="O39" s="5">
        <v>0</v>
      </c>
      <c r="P39" s="5">
        <v>119</v>
      </c>
      <c r="Q39" s="5">
        <v>22</v>
      </c>
      <c r="R39" s="5"/>
      <c r="S39" s="5" t="s">
        <v>32</v>
      </c>
      <c r="T39" s="5" t="s">
        <v>40</v>
      </c>
      <c r="U39" s="5">
        <v>130</v>
      </c>
      <c r="V39" s="5">
        <v>1550</v>
      </c>
      <c r="W39" s="5">
        <v>1</v>
      </c>
      <c r="X39" s="5"/>
      <c r="Y39" s="5" t="s">
        <v>19</v>
      </c>
      <c r="Z39" s="5" t="s">
        <v>23</v>
      </c>
      <c r="AA39" s="5">
        <v>100</v>
      </c>
      <c r="AB39" s="5">
        <v>0</v>
      </c>
      <c r="AC39" s="5">
        <v>1</v>
      </c>
      <c r="AD39" s="5"/>
      <c r="AE39" s="5" t="s">
        <v>19</v>
      </c>
      <c r="AF39" s="5" t="s">
        <v>43</v>
      </c>
      <c r="AG39" s="8">
        <v>3000</v>
      </c>
      <c r="AH39" s="5">
        <v>2000</v>
      </c>
      <c r="AI39" s="5">
        <v>28</v>
      </c>
    </row>
    <row r="40" spans="1:35">
      <c r="A40" t="str" cm="1">
        <f t="array" ref="A40:D49">_xlfn._xlws.FILTER(B13:E38, (ISNUMBER(SEARCH("紅ほっぺ",B13:B38))) + (ISNUMBER(SEARCH("無",B13:B38))) )</f>
        <v>紅ほっぺ（断）</v>
      </c>
      <c r="B40">
        <v>200</v>
      </c>
      <c r="C40">
        <v>0</v>
      </c>
      <c r="D40">
        <v>0</v>
      </c>
      <c r="G40" s="5" t="s">
        <v>37</v>
      </c>
      <c r="H40" s="5" t="s">
        <v>33</v>
      </c>
      <c r="I40" s="5">
        <v>440</v>
      </c>
      <c r="J40" s="5">
        <v>1240</v>
      </c>
      <c r="K40" s="5">
        <v>3</v>
      </c>
      <c r="L40" s="5"/>
      <c r="M40" s="5" t="s">
        <v>10</v>
      </c>
      <c r="N40" s="5" t="s">
        <v>34</v>
      </c>
      <c r="O40" s="5">
        <v>2321</v>
      </c>
      <c r="P40" s="5">
        <v>121</v>
      </c>
      <c r="Q40" s="5">
        <v>1</v>
      </c>
      <c r="R40" s="5"/>
      <c r="S40" s="5" t="s">
        <v>35</v>
      </c>
      <c r="T40" s="5" t="s">
        <v>25</v>
      </c>
      <c r="U40" s="5">
        <v>0</v>
      </c>
      <c r="V40" s="5">
        <v>40</v>
      </c>
      <c r="W40" s="5">
        <v>0</v>
      </c>
      <c r="X40" s="5"/>
      <c r="Y40" s="5" t="s">
        <v>19</v>
      </c>
      <c r="Z40" s="5" t="s">
        <v>43</v>
      </c>
      <c r="AA40" s="5">
        <v>240</v>
      </c>
      <c r="AB40" s="5">
        <v>330</v>
      </c>
      <c r="AC40" s="5">
        <v>2</v>
      </c>
      <c r="AD40" s="5"/>
      <c r="AE40" s="5" t="s">
        <v>26</v>
      </c>
      <c r="AF40" s="5" t="s">
        <v>43</v>
      </c>
      <c r="AG40" s="8">
        <v>4000</v>
      </c>
      <c r="AH40" s="5">
        <v>1560</v>
      </c>
      <c r="AI40" s="5">
        <v>38</v>
      </c>
    </row>
    <row r="41" spans="1:35">
      <c r="A41" t="str">
        <v>紅ほっぺ（断）</v>
      </c>
      <c r="B41">
        <v>540</v>
      </c>
      <c r="C41">
        <v>0</v>
      </c>
      <c r="D41">
        <v>3</v>
      </c>
      <c r="G41" s="5" t="s">
        <v>13</v>
      </c>
      <c r="H41" s="5"/>
      <c r="I41" s="5">
        <v>0</v>
      </c>
      <c r="J41" s="5">
        <v>0</v>
      </c>
      <c r="K41" s="5">
        <v>0</v>
      </c>
      <c r="L41" s="5"/>
      <c r="M41" s="5" t="s">
        <v>10</v>
      </c>
      <c r="N41" s="5" t="s">
        <v>21</v>
      </c>
      <c r="O41" s="5">
        <v>139</v>
      </c>
      <c r="P41" s="5">
        <v>220</v>
      </c>
      <c r="Q41" s="5">
        <v>0</v>
      </c>
      <c r="R41" s="5"/>
      <c r="S41" s="5" t="s">
        <v>36</v>
      </c>
      <c r="T41" s="5" t="s">
        <v>25</v>
      </c>
      <c r="U41" s="5">
        <v>0</v>
      </c>
      <c r="V41" s="5">
        <v>240</v>
      </c>
      <c r="W41" s="5">
        <v>0</v>
      </c>
      <c r="X41" s="5"/>
      <c r="Y41" s="5" t="s">
        <v>26</v>
      </c>
      <c r="Z41" s="5" t="s">
        <v>43</v>
      </c>
      <c r="AA41" s="5">
        <v>1150</v>
      </c>
      <c r="AB41" s="5">
        <v>520</v>
      </c>
      <c r="AC41" s="5">
        <v>10</v>
      </c>
      <c r="AD41" s="5"/>
      <c r="AE41" s="5" t="s">
        <v>26</v>
      </c>
      <c r="AF41" s="5" t="s">
        <v>40</v>
      </c>
      <c r="AG41" s="8">
        <v>4170</v>
      </c>
      <c r="AH41" s="5">
        <v>1400</v>
      </c>
      <c r="AI41" s="5">
        <v>40</v>
      </c>
    </row>
    <row r="42" spans="1:35">
      <c r="A42" t="str">
        <v>紅ほっぺ</v>
      </c>
      <c r="B42">
        <v>80</v>
      </c>
      <c r="C42">
        <v>0</v>
      </c>
      <c r="D42">
        <v>0</v>
      </c>
      <c r="G42" s="5" t="s">
        <v>17</v>
      </c>
      <c r="H42" s="5" t="s">
        <v>34</v>
      </c>
      <c r="I42" s="5">
        <v>380</v>
      </c>
      <c r="J42" s="5">
        <v>180</v>
      </c>
      <c r="K42" s="5">
        <v>3</v>
      </c>
      <c r="L42" s="5"/>
      <c r="M42" s="5" t="s">
        <v>10</v>
      </c>
      <c r="N42" s="5" t="s">
        <v>23</v>
      </c>
      <c r="O42" s="5">
        <v>0</v>
      </c>
      <c r="P42" s="5">
        <v>0</v>
      </c>
      <c r="Q42" s="5">
        <v>0</v>
      </c>
      <c r="R42" s="5"/>
      <c r="S42" s="5" t="s">
        <v>37</v>
      </c>
      <c r="T42" s="5" t="s">
        <v>40</v>
      </c>
      <c r="U42" s="5">
        <v>460</v>
      </c>
      <c r="V42" s="5">
        <v>1800</v>
      </c>
      <c r="W42" s="5">
        <v>2</v>
      </c>
      <c r="X42" s="5"/>
      <c r="Y42" s="5" t="s">
        <v>26</v>
      </c>
      <c r="Z42" s="5" t="s">
        <v>40</v>
      </c>
      <c r="AA42" s="5">
        <v>510</v>
      </c>
      <c r="AB42" s="5">
        <v>390</v>
      </c>
      <c r="AC42" s="5">
        <v>3</v>
      </c>
      <c r="AD42" s="5"/>
      <c r="AE42" s="5" t="s">
        <v>10</v>
      </c>
      <c r="AF42" s="5" t="s">
        <v>43</v>
      </c>
      <c r="AG42" s="8">
        <v>0</v>
      </c>
      <c r="AH42" s="5">
        <v>1240</v>
      </c>
      <c r="AI42" s="5">
        <v>0</v>
      </c>
    </row>
    <row r="43" spans="1:35">
      <c r="A43" t="str">
        <v>紅ほっぺ（断）</v>
      </c>
      <c r="B43">
        <v>260</v>
      </c>
      <c r="C43">
        <v>0</v>
      </c>
      <c r="D43">
        <v>0</v>
      </c>
      <c r="G43" s="5" t="s">
        <v>19</v>
      </c>
      <c r="H43" s="5" t="s">
        <v>23</v>
      </c>
      <c r="I43" s="5">
        <v>1880</v>
      </c>
      <c r="J43" s="5">
        <v>2480</v>
      </c>
      <c r="K43" s="5">
        <v>10</v>
      </c>
      <c r="L43" s="5"/>
      <c r="M43" s="5" t="s">
        <v>10</v>
      </c>
      <c r="N43" s="5" t="s">
        <v>40</v>
      </c>
      <c r="O43" s="5">
        <v>0</v>
      </c>
      <c r="P43" s="5">
        <v>0</v>
      </c>
      <c r="Q43" s="5">
        <v>0</v>
      </c>
      <c r="R43" s="5"/>
      <c r="S43" s="5" t="s">
        <v>17</v>
      </c>
      <c r="T43" s="5" t="s">
        <v>43</v>
      </c>
      <c r="U43" s="5">
        <v>0</v>
      </c>
      <c r="V43" s="5">
        <v>165</v>
      </c>
      <c r="W43" s="5">
        <v>0</v>
      </c>
      <c r="X43" s="5"/>
      <c r="Y43" s="5" t="s">
        <v>10</v>
      </c>
      <c r="Z43" s="5" t="s">
        <v>43</v>
      </c>
      <c r="AA43" s="5">
        <v>790</v>
      </c>
      <c r="AB43" s="5">
        <v>1690</v>
      </c>
      <c r="AC43" s="5">
        <v>8</v>
      </c>
      <c r="AD43" s="5"/>
      <c r="AE43" s="5" t="s">
        <v>10</v>
      </c>
      <c r="AF43" s="5" t="s">
        <v>21</v>
      </c>
      <c r="AG43" s="8">
        <v>0</v>
      </c>
      <c r="AH43" s="5">
        <v>500</v>
      </c>
      <c r="AI43" s="5">
        <v>0</v>
      </c>
    </row>
    <row r="44" spans="1:35">
      <c r="A44" t="str">
        <v>紅ほっぺ</v>
      </c>
      <c r="B44">
        <v>120</v>
      </c>
      <c r="C44">
        <v>0</v>
      </c>
      <c r="D44">
        <v>0</v>
      </c>
      <c r="G44" s="5" t="s">
        <v>31</v>
      </c>
      <c r="H44" s="5" t="s">
        <v>34</v>
      </c>
      <c r="I44" s="5">
        <v>840</v>
      </c>
      <c r="J44" s="5">
        <v>80</v>
      </c>
      <c r="K44" s="5">
        <v>5</v>
      </c>
      <c r="L44" s="5"/>
      <c r="M44" s="5" t="s">
        <v>29</v>
      </c>
      <c r="N44" s="5" t="s">
        <v>25</v>
      </c>
      <c r="O44" s="5">
        <v>140</v>
      </c>
      <c r="P44" s="5">
        <v>300</v>
      </c>
      <c r="Q44" s="5">
        <v>1</v>
      </c>
      <c r="R44" s="5"/>
      <c r="S44" s="5" t="s">
        <v>19</v>
      </c>
      <c r="T44" s="5" t="s">
        <v>23</v>
      </c>
      <c r="U44" s="5">
        <v>440</v>
      </c>
      <c r="V44" s="5">
        <v>1360</v>
      </c>
      <c r="W44" s="5">
        <v>4</v>
      </c>
      <c r="X44" s="5"/>
      <c r="Y44" s="5" t="s">
        <v>10</v>
      </c>
      <c r="Z44" s="5" t="s">
        <v>21</v>
      </c>
      <c r="AA44" s="5">
        <v>330</v>
      </c>
      <c r="AB44" s="5">
        <v>290</v>
      </c>
      <c r="AC44" s="5">
        <v>3</v>
      </c>
      <c r="AD44" s="5"/>
      <c r="AE44" s="5" t="s">
        <v>10</v>
      </c>
      <c r="AF44" s="5" t="s">
        <v>23</v>
      </c>
      <c r="AG44" s="8">
        <v>100</v>
      </c>
      <c r="AH44" s="5">
        <v>200</v>
      </c>
      <c r="AI44" s="5">
        <v>1</v>
      </c>
    </row>
    <row r="45" spans="1:35">
      <c r="A45" t="str">
        <v>紅ほっぺ（断）</v>
      </c>
      <c r="B45">
        <v>120</v>
      </c>
      <c r="C45">
        <v>0</v>
      </c>
      <c r="D45">
        <v>0</v>
      </c>
      <c r="G45" s="5" t="s">
        <v>19</v>
      </c>
      <c r="H45" s="5" t="s">
        <v>34</v>
      </c>
      <c r="I45" s="5">
        <v>1240</v>
      </c>
      <c r="J45" s="5">
        <v>420</v>
      </c>
      <c r="K45" s="5">
        <v>8</v>
      </c>
      <c r="L45" s="5"/>
      <c r="M45" s="5" t="s">
        <v>20</v>
      </c>
      <c r="N45" s="5" t="s">
        <v>21</v>
      </c>
      <c r="O45" s="5">
        <v>1500</v>
      </c>
      <c r="P45" s="5">
        <v>573</v>
      </c>
      <c r="Q45" s="5">
        <v>5</v>
      </c>
      <c r="R45" s="5"/>
      <c r="S45" s="5" t="s">
        <v>26</v>
      </c>
      <c r="T45" s="5" t="s">
        <v>43</v>
      </c>
      <c r="U45" s="5">
        <v>270</v>
      </c>
      <c r="V45" s="5">
        <v>510</v>
      </c>
      <c r="W45" s="5">
        <v>2</v>
      </c>
      <c r="X45" s="5"/>
      <c r="Y45" s="5" t="s">
        <v>10</v>
      </c>
      <c r="Z45" s="5" t="s">
        <v>23</v>
      </c>
      <c r="AA45" s="5">
        <v>320</v>
      </c>
      <c r="AB45" s="5">
        <v>590</v>
      </c>
      <c r="AC45" s="5">
        <v>3</v>
      </c>
      <c r="AD45" s="5"/>
      <c r="AE45" s="5" t="s">
        <v>10</v>
      </c>
      <c r="AF45" s="5" t="s">
        <v>40</v>
      </c>
      <c r="AG45" s="8">
        <v>100</v>
      </c>
      <c r="AH45" s="5">
        <v>200</v>
      </c>
      <c r="AI45" s="5">
        <v>1</v>
      </c>
    </row>
    <row r="46" spans="1:35">
      <c r="A46" t="str">
        <v>紅ほっぺ（断）</v>
      </c>
      <c r="B46">
        <v>80</v>
      </c>
      <c r="C46">
        <v>0</v>
      </c>
      <c r="D46">
        <v>0</v>
      </c>
      <c r="G46" s="5" t="s">
        <v>10</v>
      </c>
      <c r="H46" s="5" t="s">
        <v>34</v>
      </c>
      <c r="I46" s="5">
        <v>1840</v>
      </c>
      <c r="J46" s="5">
        <v>0</v>
      </c>
      <c r="K46" s="5">
        <v>17</v>
      </c>
      <c r="L46" s="5"/>
      <c r="M46" s="5" t="s">
        <v>26</v>
      </c>
      <c r="N46" s="5" t="s">
        <v>25</v>
      </c>
      <c r="O46" s="5">
        <v>170</v>
      </c>
      <c r="P46" s="5">
        <v>135</v>
      </c>
      <c r="Q46" s="5">
        <v>1</v>
      </c>
      <c r="R46" s="5"/>
      <c r="S46" s="5" t="s">
        <v>26</v>
      </c>
      <c r="T46" s="5" t="s">
        <v>40</v>
      </c>
      <c r="U46" s="5">
        <v>340</v>
      </c>
      <c r="V46" s="5">
        <v>750</v>
      </c>
      <c r="W46" s="5">
        <v>3</v>
      </c>
      <c r="X46" s="5"/>
      <c r="Y46" s="5" t="s">
        <v>10</v>
      </c>
      <c r="Z46" s="5" t="s">
        <v>40</v>
      </c>
      <c r="AA46" s="5">
        <v>410</v>
      </c>
      <c r="AB46" s="5">
        <v>630</v>
      </c>
      <c r="AC46" s="5">
        <v>4</v>
      </c>
      <c r="AD46" s="5"/>
      <c r="AE46" s="5" t="s">
        <v>29</v>
      </c>
      <c r="AF46" s="5" t="s">
        <v>25</v>
      </c>
      <c r="AG46" s="8">
        <v>230</v>
      </c>
      <c r="AH46" s="5">
        <v>470</v>
      </c>
      <c r="AI46" s="5">
        <v>2</v>
      </c>
    </row>
    <row r="47" spans="1:35">
      <c r="A47" t="str">
        <v>紅ほっぺ（断）</v>
      </c>
      <c r="B47">
        <v>400</v>
      </c>
      <c r="C47">
        <v>0</v>
      </c>
      <c r="D47">
        <v>0</v>
      </c>
      <c r="G47" s="5" t="s">
        <v>10</v>
      </c>
      <c r="H47" s="5" t="s">
        <v>21</v>
      </c>
      <c r="I47" s="5">
        <v>128</v>
      </c>
      <c r="J47" s="5">
        <v>282</v>
      </c>
      <c r="K47" s="5">
        <v>1</v>
      </c>
      <c r="L47" s="5"/>
      <c r="M47" s="5" t="s">
        <v>27</v>
      </c>
      <c r="N47" s="5" t="s">
        <v>25</v>
      </c>
      <c r="O47" s="5">
        <v>600</v>
      </c>
      <c r="P47" s="5">
        <v>439</v>
      </c>
      <c r="Q47" s="5">
        <v>4</v>
      </c>
      <c r="R47" s="5"/>
      <c r="S47" s="5" t="s">
        <v>10</v>
      </c>
      <c r="T47" s="5" t="s">
        <v>43</v>
      </c>
      <c r="U47" s="5">
        <v>1700</v>
      </c>
      <c r="V47" s="5">
        <v>2540</v>
      </c>
      <c r="W47" s="5">
        <v>15</v>
      </c>
      <c r="X47" s="5"/>
      <c r="Y47" s="5" t="s">
        <v>29</v>
      </c>
      <c r="Z47" s="5" t="s">
        <v>25</v>
      </c>
      <c r="AA47" s="5">
        <v>0</v>
      </c>
      <c r="AB47" s="5">
        <v>30</v>
      </c>
      <c r="AC47" s="5">
        <v>0</v>
      </c>
      <c r="AD47" s="5"/>
      <c r="AE47" s="5" t="s">
        <v>20</v>
      </c>
      <c r="AF47" s="5" t="s">
        <v>44</v>
      </c>
      <c r="AG47" s="8">
        <v>180</v>
      </c>
      <c r="AH47" s="5">
        <v>830</v>
      </c>
      <c r="AI47" s="5">
        <v>1</v>
      </c>
    </row>
    <row r="48" spans="1:35">
      <c r="A48" t="str">
        <v>紅ほっぺ</v>
      </c>
      <c r="B48">
        <v>100</v>
      </c>
      <c r="C48">
        <v>0</v>
      </c>
      <c r="D48">
        <v>0</v>
      </c>
      <c r="G48" s="5" t="s">
        <v>10</v>
      </c>
      <c r="H48" s="5" t="s">
        <v>23</v>
      </c>
      <c r="I48" s="5">
        <v>210</v>
      </c>
      <c r="J48" s="5">
        <v>330</v>
      </c>
      <c r="K48" s="5">
        <v>2</v>
      </c>
      <c r="L48" s="5"/>
      <c r="M48" s="5" t="s">
        <v>32</v>
      </c>
      <c r="N48" s="5" t="s">
        <v>40</v>
      </c>
      <c r="O48" s="5">
        <v>1060</v>
      </c>
      <c r="P48" s="5">
        <v>2560</v>
      </c>
      <c r="Q48" s="5">
        <v>8</v>
      </c>
      <c r="R48" s="5"/>
      <c r="S48" s="5" t="s">
        <v>10</v>
      </c>
      <c r="T48" s="5" t="s">
        <v>21</v>
      </c>
      <c r="U48" s="5">
        <v>0</v>
      </c>
      <c r="V48" s="5">
        <v>360</v>
      </c>
      <c r="W48" s="5">
        <v>0</v>
      </c>
      <c r="X48" s="5"/>
      <c r="Y48" s="5" t="s">
        <v>20</v>
      </c>
      <c r="Z48" s="5" t="s">
        <v>21</v>
      </c>
      <c r="AA48" s="5">
        <v>3640</v>
      </c>
      <c r="AB48" s="5">
        <v>1120</v>
      </c>
      <c r="AC48" s="5">
        <v>26</v>
      </c>
      <c r="AD48" s="5"/>
      <c r="AE48" s="5" t="s">
        <v>27</v>
      </c>
      <c r="AF48" s="5" t="s">
        <v>25</v>
      </c>
      <c r="AG48" s="8">
        <v>370</v>
      </c>
      <c r="AH48" s="5">
        <v>570</v>
      </c>
      <c r="AI48" s="5">
        <v>3</v>
      </c>
    </row>
    <row r="49" spans="1:35">
      <c r="A49" t="str">
        <v>紅ほっぺ（断）</v>
      </c>
      <c r="B49">
        <v>120</v>
      </c>
      <c r="C49">
        <v>0</v>
      </c>
      <c r="D49">
        <v>0</v>
      </c>
      <c r="G49" s="5" t="s">
        <v>10</v>
      </c>
      <c r="H49" s="5" t="s">
        <v>33</v>
      </c>
      <c r="I49" s="5">
        <v>220</v>
      </c>
      <c r="J49" s="5">
        <v>300</v>
      </c>
      <c r="K49" s="5">
        <v>2</v>
      </c>
      <c r="L49" s="5"/>
      <c r="M49" s="5" t="s">
        <v>28</v>
      </c>
      <c r="N49" s="5" t="s">
        <v>34</v>
      </c>
      <c r="O49" s="5">
        <v>210</v>
      </c>
      <c r="P49" s="5">
        <v>390</v>
      </c>
      <c r="Q49" s="5">
        <v>1</v>
      </c>
      <c r="R49" s="5"/>
      <c r="S49" s="5" t="s">
        <v>10</v>
      </c>
      <c r="T49" s="5" t="s">
        <v>23</v>
      </c>
      <c r="U49" s="5">
        <v>0</v>
      </c>
      <c r="V49" s="5">
        <v>300</v>
      </c>
      <c r="W49" s="5">
        <v>0</v>
      </c>
      <c r="X49" s="5"/>
      <c r="Y49" s="5" t="s">
        <v>27</v>
      </c>
      <c r="Z49" s="5" t="s">
        <v>25</v>
      </c>
      <c r="AA49" s="5">
        <v>780</v>
      </c>
      <c r="AB49" s="5">
        <v>360</v>
      </c>
      <c r="AC49" s="5">
        <v>5</v>
      </c>
      <c r="AD49" s="5"/>
      <c r="AE49" s="5" t="s">
        <v>32</v>
      </c>
      <c r="AF49" s="5" t="s">
        <v>40</v>
      </c>
      <c r="AG49" s="8">
        <v>220</v>
      </c>
      <c r="AH49" s="5">
        <v>1120</v>
      </c>
      <c r="AI49" s="5">
        <v>2</v>
      </c>
    </row>
    <row r="50" spans="1:35">
      <c r="G50" s="5" t="s">
        <v>10</v>
      </c>
      <c r="H50" s="5" t="s">
        <v>34</v>
      </c>
      <c r="I50" s="5">
        <v>2840</v>
      </c>
      <c r="J50" s="5">
        <v>1020</v>
      </c>
      <c r="K50" s="5">
        <v>26</v>
      </c>
      <c r="L50" s="5"/>
      <c r="M50" s="5" t="s">
        <v>35</v>
      </c>
      <c r="N50" s="5" t="s">
        <v>25</v>
      </c>
      <c r="O50" s="5">
        <v>110</v>
      </c>
      <c r="P50" s="5">
        <v>250</v>
      </c>
      <c r="Q50" s="5">
        <v>1</v>
      </c>
      <c r="R50" s="5"/>
      <c r="S50" s="5" t="s">
        <v>10</v>
      </c>
      <c r="T50" s="5" t="s">
        <v>40</v>
      </c>
      <c r="U50" s="5">
        <v>0</v>
      </c>
      <c r="V50" s="5">
        <v>220</v>
      </c>
      <c r="W50" s="5">
        <v>0</v>
      </c>
      <c r="X50" s="5"/>
      <c r="Y50" s="5" t="s">
        <v>32</v>
      </c>
      <c r="Z50" s="5" t="s">
        <v>40</v>
      </c>
      <c r="AA50" s="5">
        <v>5510</v>
      </c>
      <c r="AB50" s="5">
        <v>1250</v>
      </c>
      <c r="AC50" s="5">
        <v>52</v>
      </c>
      <c r="AD50" s="5"/>
      <c r="AE50" s="5" t="s">
        <v>28</v>
      </c>
      <c r="AF50" s="5" t="s">
        <v>43</v>
      </c>
      <c r="AG50" s="8">
        <v>920</v>
      </c>
      <c r="AH50" s="5">
        <v>840</v>
      </c>
      <c r="AI50" s="5">
        <v>1</v>
      </c>
    </row>
    <row r="51" spans="1:35">
      <c r="A51" s="9" t="e" cm="1" vm="1">
        <f t="array" ref="A51">_xlfn._xlws.FILTER(B13:E38,ISNUMBER(SEARCH("やよい",B13:B38)))</f>
        <v>#VALUE!</v>
      </c>
      <c r="G51" s="5" t="s">
        <v>31</v>
      </c>
      <c r="H51" s="5" t="s">
        <v>25</v>
      </c>
      <c r="I51" s="5">
        <v>1620</v>
      </c>
      <c r="J51" s="5">
        <v>450</v>
      </c>
      <c r="K51" s="5">
        <v>0</v>
      </c>
      <c r="L51" s="5"/>
      <c r="M51" s="5" t="s">
        <v>30</v>
      </c>
      <c r="N51" s="5" t="s">
        <v>25</v>
      </c>
      <c r="O51" s="5">
        <v>1340</v>
      </c>
      <c r="P51" s="5">
        <v>740</v>
      </c>
      <c r="Q51" s="5">
        <v>10</v>
      </c>
      <c r="R51" s="5"/>
      <c r="S51" s="5" t="s">
        <v>32</v>
      </c>
      <c r="T51" s="5" t="s">
        <v>40</v>
      </c>
      <c r="U51" s="5">
        <v>0</v>
      </c>
      <c r="V51" s="5">
        <v>600</v>
      </c>
      <c r="W51" s="5">
        <v>0</v>
      </c>
      <c r="X51" s="5"/>
      <c r="Y51" s="5" t="s">
        <v>28</v>
      </c>
      <c r="Z51" s="5" t="s">
        <v>43</v>
      </c>
      <c r="AA51" s="5">
        <v>590</v>
      </c>
      <c r="AB51" s="5">
        <v>260</v>
      </c>
      <c r="AC51" s="5">
        <v>5</v>
      </c>
      <c r="AD51" s="5"/>
      <c r="AE51" s="5" t="s">
        <v>45</v>
      </c>
      <c r="AF51" s="5" t="s">
        <v>25</v>
      </c>
      <c r="AG51" s="8">
        <v>260</v>
      </c>
      <c r="AH51" s="5">
        <v>600</v>
      </c>
      <c r="AI51" s="5">
        <v>2</v>
      </c>
    </row>
    <row r="52" spans="1:35">
      <c r="G52" s="5" t="s">
        <v>29</v>
      </c>
      <c r="H52" s="5" t="s">
        <v>25</v>
      </c>
      <c r="I52" s="5">
        <v>880</v>
      </c>
      <c r="J52" s="5">
        <v>94</v>
      </c>
      <c r="K52" s="5">
        <v>7</v>
      </c>
      <c r="L52" s="5"/>
      <c r="M52" s="5" t="s">
        <v>36</v>
      </c>
      <c r="N52" s="5" t="s">
        <v>25</v>
      </c>
      <c r="O52" s="5">
        <v>340</v>
      </c>
      <c r="P52" s="5">
        <v>320</v>
      </c>
      <c r="Q52" s="5">
        <v>3</v>
      </c>
      <c r="R52" s="5"/>
      <c r="S52" s="5" t="s">
        <v>28</v>
      </c>
      <c r="T52" s="5" t="s">
        <v>43</v>
      </c>
      <c r="U52" s="5">
        <v>0</v>
      </c>
      <c r="V52" s="5">
        <v>120</v>
      </c>
      <c r="W52" s="5">
        <v>0</v>
      </c>
      <c r="X52" s="5"/>
      <c r="Y52" s="5" t="s">
        <v>45</v>
      </c>
      <c r="Z52" s="5" t="s">
        <v>25</v>
      </c>
      <c r="AA52" s="5">
        <v>240</v>
      </c>
      <c r="AB52" s="5">
        <v>280</v>
      </c>
      <c r="AC52" s="5">
        <v>2</v>
      </c>
      <c r="AD52" s="5"/>
      <c r="AE52" s="5" t="s">
        <v>30</v>
      </c>
      <c r="AF52" s="5" t="s">
        <v>25</v>
      </c>
      <c r="AG52" s="8">
        <v>1500</v>
      </c>
      <c r="AH52" s="5">
        <v>1120</v>
      </c>
      <c r="AI52" s="5">
        <v>14</v>
      </c>
    </row>
    <row r="53" spans="1:35">
      <c r="A53" s="9" t="str" cm="1">
        <f t="array" ref="A53:D59">_xlfn._xlws.FILTER(B13:E38,ISNUMBER(SEARCH("よつぼし",B13:B38)))</f>
        <v>よつぼし</v>
      </c>
      <c r="B53">
        <v>46</v>
      </c>
      <c r="C53">
        <v>0</v>
      </c>
      <c r="D53">
        <v>0</v>
      </c>
      <c r="G53" s="5" t="s">
        <v>20</v>
      </c>
      <c r="H53" s="5" t="s">
        <v>21</v>
      </c>
      <c r="I53" s="5">
        <v>1880</v>
      </c>
      <c r="J53" s="5">
        <v>665</v>
      </c>
      <c r="K53" s="5">
        <v>9</v>
      </c>
      <c r="L53" s="5"/>
      <c r="M53" s="5" t="s">
        <v>37</v>
      </c>
      <c r="N53" s="5" t="s">
        <v>40</v>
      </c>
      <c r="O53" s="5">
        <v>1160</v>
      </c>
      <c r="P53" s="5">
        <v>1600</v>
      </c>
      <c r="Q53" s="5">
        <v>9</v>
      </c>
      <c r="R53" s="5"/>
      <c r="S53" s="5" t="s">
        <v>36</v>
      </c>
      <c r="T53" s="5" t="s">
        <v>25</v>
      </c>
      <c r="U53" s="5">
        <v>0</v>
      </c>
      <c r="V53" s="5">
        <v>120</v>
      </c>
      <c r="W53" s="5">
        <v>0</v>
      </c>
      <c r="X53" s="5"/>
      <c r="Y53" s="5" t="s">
        <v>30</v>
      </c>
      <c r="Z53" s="5" t="s">
        <v>25</v>
      </c>
      <c r="AA53" s="5">
        <v>1210</v>
      </c>
      <c r="AB53" s="5">
        <v>340</v>
      </c>
      <c r="AC53" s="5">
        <v>12</v>
      </c>
      <c r="AD53" s="5"/>
      <c r="AE53" s="5" t="s">
        <v>36</v>
      </c>
      <c r="AF53" s="5" t="s">
        <v>25</v>
      </c>
      <c r="AG53" s="8">
        <v>260</v>
      </c>
      <c r="AH53" s="5">
        <v>660</v>
      </c>
      <c r="AI53" s="5">
        <v>2</v>
      </c>
    </row>
    <row r="54" spans="1:35">
      <c r="A54" t="str">
        <v>よつぼし</v>
      </c>
      <c r="B54">
        <v>0</v>
      </c>
      <c r="C54">
        <v>200</v>
      </c>
      <c r="D54">
        <v>0</v>
      </c>
      <c r="G54" s="5" t="s">
        <v>26</v>
      </c>
      <c r="H54" s="5" t="s">
        <v>25</v>
      </c>
      <c r="I54" s="5">
        <v>1080</v>
      </c>
      <c r="J54" s="5">
        <v>430</v>
      </c>
      <c r="K54" s="5">
        <v>5</v>
      </c>
      <c r="L54" s="5"/>
      <c r="M54" s="5" t="s">
        <v>13</v>
      </c>
      <c r="N54" s="5" t="s">
        <v>25</v>
      </c>
      <c r="O54" s="5">
        <v>260</v>
      </c>
      <c r="P54" s="5">
        <v>530</v>
      </c>
      <c r="Q54" s="5">
        <v>1</v>
      </c>
      <c r="R54" s="5"/>
      <c r="S54" s="5" t="s">
        <v>37</v>
      </c>
      <c r="T54" s="5" t="s">
        <v>40</v>
      </c>
      <c r="U54" s="5">
        <v>860</v>
      </c>
      <c r="V54" s="5">
        <v>1740</v>
      </c>
      <c r="W54" s="5">
        <v>7</v>
      </c>
      <c r="X54" s="5"/>
      <c r="Y54" s="5" t="s">
        <v>36</v>
      </c>
      <c r="Z54" s="5" t="s">
        <v>25</v>
      </c>
      <c r="AA54" s="5">
        <v>0</v>
      </c>
      <c r="AB54" s="5">
        <v>320</v>
      </c>
      <c r="AC54" s="5">
        <v>0</v>
      </c>
      <c r="AD54" s="5"/>
      <c r="AE54" s="5" t="s">
        <v>37</v>
      </c>
      <c r="AF54" s="5" t="s">
        <v>40</v>
      </c>
      <c r="AG54" s="8">
        <v>1010</v>
      </c>
      <c r="AH54" s="5">
        <v>450</v>
      </c>
      <c r="AI54" s="5">
        <v>7</v>
      </c>
    </row>
    <row r="55" spans="1:35">
      <c r="A55" t="str">
        <v>よつぼし</v>
      </c>
      <c r="B55">
        <v>240</v>
      </c>
      <c r="C55">
        <v>0</v>
      </c>
      <c r="D55">
        <v>0</v>
      </c>
      <c r="G55" s="5" t="s">
        <v>27</v>
      </c>
      <c r="H55" s="5" t="s">
        <v>25</v>
      </c>
      <c r="I55" s="5">
        <v>1480</v>
      </c>
      <c r="J55" s="5">
        <v>0</v>
      </c>
      <c r="K55" s="5">
        <v>12</v>
      </c>
      <c r="L55" s="5"/>
      <c r="M55" s="5" t="s">
        <v>17</v>
      </c>
      <c r="N55" s="5" t="s">
        <v>34</v>
      </c>
      <c r="O55" s="5">
        <v>140</v>
      </c>
      <c r="P55" s="5">
        <v>200</v>
      </c>
      <c r="Q55" s="5">
        <v>1</v>
      </c>
      <c r="R55" s="5"/>
      <c r="S55" s="5" t="s">
        <v>19</v>
      </c>
      <c r="T55" s="5" t="s">
        <v>23</v>
      </c>
      <c r="U55" s="5">
        <v>100</v>
      </c>
      <c r="V55" s="5">
        <v>610</v>
      </c>
      <c r="W55" s="5">
        <v>1</v>
      </c>
      <c r="X55" s="5"/>
      <c r="Y55" s="5" t="s">
        <v>37</v>
      </c>
      <c r="Z55" s="5" t="s">
        <v>40</v>
      </c>
      <c r="AA55" s="5">
        <v>2510</v>
      </c>
      <c r="AB55" s="5">
        <v>10</v>
      </c>
      <c r="AC55" s="5">
        <v>18</v>
      </c>
      <c r="AD55" s="5"/>
      <c r="AE55" s="5" t="s">
        <v>13</v>
      </c>
      <c r="AF55" s="5" t="s">
        <v>25</v>
      </c>
      <c r="AG55" s="8">
        <v>0</v>
      </c>
      <c r="AH55" s="5">
        <v>520</v>
      </c>
      <c r="AI55" s="5">
        <v>0</v>
      </c>
    </row>
    <row r="56" spans="1:35">
      <c r="A56" t="str">
        <v>よつぼし</v>
      </c>
      <c r="B56">
        <v>440</v>
      </c>
      <c r="C56">
        <v>0</v>
      </c>
      <c r="D56">
        <v>4</v>
      </c>
      <c r="G56" s="5" t="s">
        <v>32</v>
      </c>
      <c r="H56" s="5" t="s">
        <v>40</v>
      </c>
      <c r="I56" s="5">
        <v>1820</v>
      </c>
      <c r="J56" s="5">
        <v>158</v>
      </c>
      <c r="K56" s="5">
        <v>15</v>
      </c>
      <c r="L56" s="5"/>
      <c r="M56" s="5" t="s">
        <v>19</v>
      </c>
      <c r="N56" s="5" t="s">
        <v>23</v>
      </c>
      <c r="O56" s="5">
        <v>2300</v>
      </c>
      <c r="P56" s="5">
        <v>325</v>
      </c>
      <c r="Q56" s="5">
        <v>22</v>
      </c>
      <c r="R56" s="5"/>
      <c r="S56" s="5" t="s">
        <v>26</v>
      </c>
      <c r="T56" s="5" t="s">
        <v>43</v>
      </c>
      <c r="U56" s="5">
        <v>230</v>
      </c>
      <c r="V56" s="5">
        <v>620</v>
      </c>
      <c r="W56" s="5">
        <v>2</v>
      </c>
      <c r="X56" s="5"/>
      <c r="Y56" s="5" t="s">
        <v>17</v>
      </c>
      <c r="Z56" s="5" t="s">
        <v>43</v>
      </c>
      <c r="AA56" s="5">
        <v>100</v>
      </c>
      <c r="AB56" s="5">
        <v>60</v>
      </c>
      <c r="AC56" s="5">
        <v>1</v>
      </c>
      <c r="AD56" s="5"/>
      <c r="AE56" s="5" t="s">
        <v>19</v>
      </c>
      <c r="AF56" s="5" t="s">
        <v>23</v>
      </c>
      <c r="AG56" s="8">
        <v>1110</v>
      </c>
      <c r="AH56" s="5">
        <v>2930</v>
      </c>
      <c r="AI56" s="5">
        <v>11</v>
      </c>
    </row>
    <row r="57" spans="1:35">
      <c r="A57" t="str">
        <v>よつぼし</v>
      </c>
      <c r="B57">
        <v>220</v>
      </c>
      <c r="C57">
        <v>0</v>
      </c>
      <c r="D57">
        <v>0</v>
      </c>
      <c r="G57" s="5" t="s">
        <v>28</v>
      </c>
      <c r="H57" s="5" t="s">
        <v>34</v>
      </c>
      <c r="I57" s="5">
        <v>810</v>
      </c>
      <c r="J57" s="5">
        <v>660</v>
      </c>
      <c r="K57" s="5">
        <v>6</v>
      </c>
      <c r="L57" s="5"/>
      <c r="M57" s="5" t="s">
        <v>31</v>
      </c>
      <c r="N57" s="5" t="s">
        <v>34</v>
      </c>
      <c r="O57" s="5">
        <v>280</v>
      </c>
      <c r="P57" s="5">
        <v>160</v>
      </c>
      <c r="Q57" s="5">
        <v>1</v>
      </c>
      <c r="R57" s="5"/>
      <c r="S57" s="5" t="s">
        <v>26</v>
      </c>
      <c r="T57" s="5" t="s">
        <v>40</v>
      </c>
      <c r="U57" s="5">
        <v>330</v>
      </c>
      <c r="V57" s="5">
        <v>290</v>
      </c>
      <c r="W57" s="5">
        <v>3</v>
      </c>
      <c r="X57" s="5"/>
      <c r="Y57" s="5" t="s">
        <v>19</v>
      </c>
      <c r="Z57" s="5" t="s">
        <v>23</v>
      </c>
      <c r="AA57" s="5">
        <v>1840</v>
      </c>
      <c r="AB57" s="5">
        <v>230</v>
      </c>
      <c r="AC57" s="5">
        <v>17</v>
      </c>
      <c r="AD57" s="5"/>
      <c r="AE57" s="5" t="s">
        <v>19</v>
      </c>
      <c r="AF57" s="5" t="s">
        <v>43</v>
      </c>
      <c r="AG57" s="8">
        <v>2120</v>
      </c>
      <c r="AH57" s="5">
        <v>6920</v>
      </c>
      <c r="AI57" s="5">
        <v>19</v>
      </c>
    </row>
    <row r="58" spans="1:35">
      <c r="A58" t="str">
        <v>よつぼし</v>
      </c>
      <c r="B58">
        <v>960</v>
      </c>
      <c r="C58">
        <v>560</v>
      </c>
      <c r="D58">
        <v>8</v>
      </c>
      <c r="G58" s="5" t="s">
        <v>35</v>
      </c>
      <c r="H58" s="5" t="s">
        <v>25</v>
      </c>
      <c r="I58" s="5">
        <v>600</v>
      </c>
      <c r="J58" s="5">
        <v>90</v>
      </c>
      <c r="K58" s="5">
        <v>5</v>
      </c>
      <c r="L58" s="5"/>
      <c r="M58" s="5" t="s">
        <v>19</v>
      </c>
      <c r="N58" s="5" t="s">
        <v>34</v>
      </c>
      <c r="O58" s="5">
        <v>1020</v>
      </c>
      <c r="P58" s="5">
        <v>1280</v>
      </c>
      <c r="Q58" s="5">
        <v>7</v>
      </c>
      <c r="R58" s="5"/>
      <c r="S58" s="5" t="s">
        <v>10</v>
      </c>
      <c r="T58" s="5" t="s">
        <v>43</v>
      </c>
      <c r="U58" s="5">
        <v>980</v>
      </c>
      <c r="V58" s="5">
        <v>3180</v>
      </c>
      <c r="W58" s="5">
        <v>9</v>
      </c>
      <c r="X58" s="5"/>
      <c r="Y58" s="5" t="s">
        <v>26</v>
      </c>
      <c r="Z58" s="5" t="s">
        <v>43</v>
      </c>
      <c r="AA58" s="5">
        <v>1730</v>
      </c>
      <c r="AB58" s="5">
        <v>700</v>
      </c>
      <c r="AC58" s="5">
        <v>16</v>
      </c>
      <c r="AD58" s="5"/>
      <c r="AE58" s="5" t="s">
        <v>26</v>
      </c>
      <c r="AF58" s="5" t="s">
        <v>40</v>
      </c>
      <c r="AG58" s="8">
        <v>680</v>
      </c>
      <c r="AH58" s="5">
        <v>0</v>
      </c>
      <c r="AI58" s="5">
        <v>5</v>
      </c>
    </row>
    <row r="59" spans="1:35">
      <c r="A59" t="str">
        <v>よつぼし</v>
      </c>
      <c r="B59">
        <v>500</v>
      </c>
      <c r="C59">
        <v>0</v>
      </c>
      <c r="D59">
        <v>0</v>
      </c>
      <c r="G59" s="5" t="s">
        <v>30</v>
      </c>
      <c r="H59" s="5" t="s">
        <v>25</v>
      </c>
      <c r="I59" s="5">
        <v>2500</v>
      </c>
      <c r="J59" s="5">
        <v>760</v>
      </c>
      <c r="K59" s="5">
        <v>16</v>
      </c>
      <c r="L59" s="5"/>
      <c r="M59" s="5" t="s">
        <v>10</v>
      </c>
      <c r="N59" s="5" t="s">
        <v>34</v>
      </c>
      <c r="O59" s="5">
        <v>2280</v>
      </c>
      <c r="P59" s="5">
        <v>1135</v>
      </c>
      <c r="Q59" s="5">
        <v>17</v>
      </c>
      <c r="R59" s="5"/>
      <c r="S59" s="5" t="s">
        <v>10</v>
      </c>
      <c r="T59" s="5" t="s">
        <v>21</v>
      </c>
      <c r="U59" s="5">
        <v>270</v>
      </c>
      <c r="V59" s="5">
        <v>270</v>
      </c>
      <c r="W59" s="5">
        <v>2</v>
      </c>
      <c r="X59" s="5"/>
      <c r="Y59" s="5" t="s">
        <v>26</v>
      </c>
      <c r="Z59" s="5" t="s">
        <v>40</v>
      </c>
      <c r="AA59" s="5">
        <v>780</v>
      </c>
      <c r="AB59" s="5">
        <v>1250</v>
      </c>
      <c r="AC59" s="5">
        <v>4</v>
      </c>
      <c r="AD59" s="5"/>
      <c r="AE59" s="5" t="s">
        <v>10</v>
      </c>
      <c r="AF59" s="5" t="s">
        <v>43</v>
      </c>
      <c r="AG59" s="8">
        <v>0</v>
      </c>
      <c r="AH59" s="5">
        <v>1520</v>
      </c>
      <c r="AI59" s="5">
        <v>0</v>
      </c>
    </row>
    <row r="60" spans="1:35">
      <c r="G60" s="5" t="s">
        <v>36</v>
      </c>
      <c r="H60" s="5" t="s">
        <v>25</v>
      </c>
      <c r="I60" s="5">
        <v>820</v>
      </c>
      <c r="J60" s="5">
        <v>747</v>
      </c>
      <c r="K60" s="5">
        <v>8</v>
      </c>
      <c r="L60" s="5"/>
      <c r="M60" s="5" t="s">
        <v>41</v>
      </c>
      <c r="N60" s="5" t="s">
        <v>25</v>
      </c>
      <c r="O60" s="5">
        <v>0</v>
      </c>
      <c r="P60" s="5">
        <v>0</v>
      </c>
      <c r="Q60" s="5">
        <v>0</v>
      </c>
      <c r="R60" s="5"/>
      <c r="S60" s="5" t="s">
        <v>10</v>
      </c>
      <c r="T60" s="5" t="s">
        <v>23</v>
      </c>
      <c r="U60" s="5">
        <v>0</v>
      </c>
      <c r="V60" s="5">
        <v>440</v>
      </c>
      <c r="W60" s="5">
        <v>0</v>
      </c>
      <c r="X60" s="5"/>
      <c r="Y60" s="5" t="s">
        <v>10</v>
      </c>
      <c r="Z60" s="5" t="s">
        <v>43</v>
      </c>
      <c r="AA60" s="5">
        <v>0</v>
      </c>
      <c r="AB60" s="5">
        <v>1660</v>
      </c>
      <c r="AC60" s="5">
        <v>0</v>
      </c>
      <c r="AD60" s="5"/>
      <c r="AE60" s="5" t="s">
        <v>10</v>
      </c>
      <c r="AF60" s="5" t="s">
        <v>44</v>
      </c>
      <c r="AG60" s="8">
        <v>0</v>
      </c>
      <c r="AH60" s="5">
        <v>260</v>
      </c>
      <c r="AI60" s="5">
        <v>0</v>
      </c>
    </row>
    <row r="61" spans="1:35">
      <c r="A61" t="str" cm="1">
        <f t="array" ref="A61:D69">_xlfn._xlws.FILTER(B13:E38,ISNUMBER(SEARCH("かおり",B13:B38)))</f>
        <v>かおり野</v>
      </c>
      <c r="B61">
        <v>1510</v>
      </c>
      <c r="C61">
        <v>0</v>
      </c>
      <c r="D61">
        <v>12</v>
      </c>
      <c r="G61" s="5" t="s">
        <v>37</v>
      </c>
      <c r="H61" s="5" t="s">
        <v>40</v>
      </c>
      <c r="I61" s="5">
        <v>260</v>
      </c>
      <c r="J61" s="5">
        <v>110</v>
      </c>
      <c r="K61" s="5">
        <v>1</v>
      </c>
      <c r="L61" s="5"/>
      <c r="M61" s="5" t="s">
        <v>10</v>
      </c>
      <c r="N61" s="5" t="s">
        <v>34</v>
      </c>
      <c r="O61" s="5">
        <v>1920</v>
      </c>
      <c r="P61" s="5">
        <v>1230</v>
      </c>
      <c r="Q61" s="5">
        <v>13</v>
      </c>
      <c r="R61" s="5"/>
      <c r="S61" s="5" t="s">
        <v>10</v>
      </c>
      <c r="T61" s="5" t="s">
        <v>40</v>
      </c>
      <c r="U61" s="5">
        <v>120</v>
      </c>
      <c r="V61" s="5">
        <v>440</v>
      </c>
      <c r="W61" s="5">
        <v>1</v>
      </c>
      <c r="X61" s="5"/>
      <c r="Y61" s="5" t="s">
        <v>10</v>
      </c>
      <c r="Z61" s="5" t="s">
        <v>21</v>
      </c>
      <c r="AA61" s="5">
        <v>320</v>
      </c>
      <c r="AB61" s="5">
        <v>240</v>
      </c>
      <c r="AC61" s="5">
        <v>3</v>
      </c>
      <c r="AD61" s="5"/>
      <c r="AE61" s="5" t="s">
        <v>10</v>
      </c>
      <c r="AF61" s="5" t="s">
        <v>23</v>
      </c>
      <c r="AG61" s="8">
        <v>0</v>
      </c>
      <c r="AH61" s="5">
        <v>620</v>
      </c>
      <c r="AI61" s="5">
        <v>0</v>
      </c>
    </row>
    <row r="62" spans="1:35">
      <c r="A62" t="str">
        <v>かおり野</v>
      </c>
      <c r="B62">
        <v>120</v>
      </c>
      <c r="C62">
        <v>0</v>
      </c>
      <c r="D62">
        <v>0</v>
      </c>
      <c r="G62" s="5" t="s">
        <v>13</v>
      </c>
      <c r="H62" s="5" t="s">
        <v>25</v>
      </c>
      <c r="I62" s="5">
        <v>0</v>
      </c>
      <c r="J62" s="5">
        <v>0</v>
      </c>
      <c r="K62" s="5">
        <v>0</v>
      </c>
      <c r="L62" s="5"/>
      <c r="M62" s="5" t="s">
        <v>10</v>
      </c>
      <c r="N62" s="5" t="s">
        <v>21</v>
      </c>
      <c r="O62" s="5">
        <v>140</v>
      </c>
      <c r="P62" s="5">
        <v>269</v>
      </c>
      <c r="Q62" s="5">
        <v>1</v>
      </c>
      <c r="R62" s="5"/>
      <c r="Y62" s="5" t="s">
        <v>10</v>
      </c>
      <c r="Z62" s="5" t="s">
        <v>23</v>
      </c>
      <c r="AA62" s="5">
        <v>320</v>
      </c>
      <c r="AB62" s="5">
        <v>700</v>
      </c>
      <c r="AC62" s="5">
        <v>3</v>
      </c>
      <c r="AD62" s="5"/>
      <c r="AE62" s="5" t="s">
        <v>10</v>
      </c>
      <c r="AF62" s="5" t="s">
        <v>40</v>
      </c>
      <c r="AG62" s="8">
        <v>0</v>
      </c>
      <c r="AH62" s="5">
        <v>800</v>
      </c>
      <c r="AI62" s="5">
        <v>0</v>
      </c>
    </row>
    <row r="63" spans="1:35">
      <c r="A63" t="str">
        <v>かおり野</v>
      </c>
      <c r="B63">
        <v>3340</v>
      </c>
      <c r="C63">
        <v>0</v>
      </c>
      <c r="D63">
        <v>32</v>
      </c>
      <c r="G63" s="5" t="s">
        <v>17</v>
      </c>
      <c r="H63" s="5" t="s">
        <v>34</v>
      </c>
      <c r="I63" s="5">
        <v>480</v>
      </c>
      <c r="J63" s="5">
        <v>100</v>
      </c>
      <c r="K63" s="5">
        <v>3</v>
      </c>
      <c r="L63" s="5"/>
      <c r="M63" s="5" t="s">
        <v>10</v>
      </c>
      <c r="N63" s="5" t="s">
        <v>23</v>
      </c>
      <c r="O63" s="5">
        <v>200</v>
      </c>
      <c r="P63" s="5">
        <v>166</v>
      </c>
      <c r="Q63" s="5">
        <v>1</v>
      </c>
      <c r="R63" s="5"/>
      <c r="S63" t="str" cm="1">
        <f t="array" ref="S63:V95">_xlfn._xlws.FILTER(T2:W61, (ISNUMBER(SEARCH("紅ほっぺ", T2:T61))) + (ISNUMBER(SEARCH("無", T2:T61))) )</f>
        <v>紅ほっぺ</v>
      </c>
      <c r="T63">
        <v>0</v>
      </c>
      <c r="U63">
        <v>360</v>
      </c>
      <c r="V63">
        <v>0</v>
      </c>
      <c r="Y63" s="5" t="s">
        <v>10</v>
      </c>
      <c r="Z63" s="5" t="s">
        <v>40</v>
      </c>
      <c r="AA63" s="5">
        <v>940</v>
      </c>
      <c r="AB63" s="5">
        <v>580</v>
      </c>
      <c r="AC63" s="5">
        <v>9</v>
      </c>
      <c r="AD63" s="5"/>
      <c r="AE63" s="5" t="s">
        <v>30</v>
      </c>
      <c r="AF63" s="5" t="s">
        <v>25</v>
      </c>
      <c r="AG63" s="8">
        <v>1060</v>
      </c>
      <c r="AH63" s="5">
        <v>740</v>
      </c>
      <c r="AI63" s="5">
        <v>10</v>
      </c>
    </row>
    <row r="64" spans="1:35">
      <c r="A64" t="str">
        <v>かおり野</v>
      </c>
      <c r="B64">
        <v>240</v>
      </c>
      <c r="C64">
        <v>0</v>
      </c>
      <c r="D64">
        <v>0</v>
      </c>
      <c r="G64" s="5" t="s">
        <v>19</v>
      </c>
      <c r="H64" s="5" t="s">
        <v>23</v>
      </c>
      <c r="I64" s="5">
        <v>2036</v>
      </c>
      <c r="J64" s="5">
        <v>435</v>
      </c>
      <c r="K64" s="5">
        <v>15</v>
      </c>
      <c r="L64" s="5"/>
      <c r="M64" s="5" t="s">
        <v>10</v>
      </c>
      <c r="N64" s="5" t="s">
        <v>40</v>
      </c>
      <c r="O64" s="5">
        <v>0</v>
      </c>
      <c r="P64" s="5">
        <v>0</v>
      </c>
      <c r="Q64" s="5">
        <v>0</v>
      </c>
      <c r="R64" s="5"/>
      <c r="S64" t="str">
        <v>紅ほっぺ</v>
      </c>
      <c r="T64">
        <v>0</v>
      </c>
      <c r="U64">
        <v>0</v>
      </c>
      <c r="V64">
        <v>0</v>
      </c>
      <c r="Y64" s="5" t="s">
        <v>29</v>
      </c>
      <c r="Z64" s="5" t="s">
        <v>25</v>
      </c>
      <c r="AA64" s="5">
        <v>400</v>
      </c>
      <c r="AB64" s="5">
        <v>500</v>
      </c>
      <c r="AC64" s="5">
        <v>4</v>
      </c>
      <c r="AD64" s="5"/>
      <c r="AE64" s="5" t="s">
        <v>19</v>
      </c>
      <c r="AF64" s="5" t="s">
        <v>23</v>
      </c>
      <c r="AG64" s="8">
        <v>0</v>
      </c>
      <c r="AH64" s="5">
        <v>3400</v>
      </c>
      <c r="AI64" s="5">
        <v>0</v>
      </c>
    </row>
    <row r="65" spans="1:35">
      <c r="A65" t="str">
        <v>かおり野</v>
      </c>
      <c r="B65">
        <v>5140</v>
      </c>
      <c r="C65">
        <v>0</v>
      </c>
      <c r="D65">
        <v>31</v>
      </c>
      <c r="G65" s="5" t="s">
        <v>31</v>
      </c>
      <c r="H65" s="5" t="s">
        <v>34</v>
      </c>
      <c r="I65" s="5">
        <v>460</v>
      </c>
      <c r="J65" s="5">
        <v>440</v>
      </c>
      <c r="K65" s="5">
        <v>4</v>
      </c>
      <c r="L65" s="5"/>
      <c r="M65" s="5" t="s">
        <v>29</v>
      </c>
      <c r="N65" s="5" t="s">
        <v>25</v>
      </c>
      <c r="O65" s="5">
        <v>240</v>
      </c>
      <c r="P65" s="5">
        <v>0</v>
      </c>
      <c r="Q65" s="5">
        <v>0</v>
      </c>
      <c r="R65" s="5"/>
      <c r="S65" t="str">
        <v>紅ほっぺ</v>
      </c>
      <c r="T65">
        <v>480</v>
      </c>
      <c r="U65">
        <v>620</v>
      </c>
      <c r="V65">
        <v>4</v>
      </c>
      <c r="Y65" s="5" t="s">
        <v>20</v>
      </c>
      <c r="Z65" s="5" t="s">
        <v>44</v>
      </c>
      <c r="AA65" s="5">
        <v>2330</v>
      </c>
      <c r="AB65" s="5">
        <v>1170</v>
      </c>
      <c r="AC65" s="5">
        <v>25</v>
      </c>
      <c r="AD65" s="5"/>
      <c r="AE65" s="5" t="s">
        <v>26</v>
      </c>
      <c r="AF65" s="5" t="s">
        <v>43</v>
      </c>
      <c r="AG65" s="8">
        <v>840</v>
      </c>
      <c r="AH65" s="5">
        <v>300</v>
      </c>
      <c r="AI65" s="5">
        <v>6</v>
      </c>
    </row>
    <row r="66" spans="1:35">
      <c r="A66" t="str">
        <v>かおり野</v>
      </c>
      <c r="B66">
        <v>480</v>
      </c>
      <c r="C66">
        <v>0</v>
      </c>
      <c r="D66">
        <v>0</v>
      </c>
      <c r="G66" s="5" t="s">
        <v>19</v>
      </c>
      <c r="H66" s="5" t="s">
        <v>34</v>
      </c>
      <c r="I66" s="5">
        <v>1800</v>
      </c>
      <c r="J66" s="5">
        <v>0</v>
      </c>
      <c r="K66" s="5">
        <v>8</v>
      </c>
      <c r="L66" s="5"/>
      <c r="M66" s="5" t="s">
        <v>20</v>
      </c>
      <c r="N66" s="5" t="s">
        <v>21</v>
      </c>
      <c r="O66" s="5">
        <v>300</v>
      </c>
      <c r="P66" s="5">
        <v>940</v>
      </c>
      <c r="Q66" s="5">
        <v>2</v>
      </c>
      <c r="R66" s="5"/>
      <c r="S66" t="str">
        <v>紅ほっぺ（無）</v>
      </c>
      <c r="T66">
        <v>0</v>
      </c>
      <c r="U66">
        <v>843</v>
      </c>
      <c r="V66">
        <v>0</v>
      </c>
      <c r="Y66" s="5" t="s">
        <v>27</v>
      </c>
      <c r="Z66" s="5" t="s">
        <v>25</v>
      </c>
      <c r="AA66" s="5">
        <v>420</v>
      </c>
      <c r="AB66" s="5">
        <v>200</v>
      </c>
      <c r="AC66" s="5">
        <v>4</v>
      </c>
      <c r="AD66" s="5"/>
      <c r="AE66" s="5" t="s">
        <v>26</v>
      </c>
      <c r="AF66" s="5" t="s">
        <v>40</v>
      </c>
      <c r="AG66" s="8">
        <v>370</v>
      </c>
      <c r="AH66" s="5">
        <v>130</v>
      </c>
      <c r="AI66" s="5">
        <v>3</v>
      </c>
    </row>
    <row r="67" spans="1:35">
      <c r="A67" t="str">
        <v>かおり野</v>
      </c>
      <c r="B67">
        <v>840</v>
      </c>
      <c r="C67">
        <v>0</v>
      </c>
      <c r="D67">
        <v>0</v>
      </c>
      <c r="G67" s="5" t="s">
        <v>10</v>
      </c>
      <c r="H67" s="5" t="s">
        <v>34</v>
      </c>
      <c r="I67" s="5">
        <v>2740</v>
      </c>
      <c r="J67" s="5">
        <v>470</v>
      </c>
      <c r="K67" s="5">
        <v>22</v>
      </c>
      <c r="L67" s="5"/>
      <c r="M67" s="5" t="s">
        <v>26</v>
      </c>
      <c r="N67" s="5" t="s">
        <v>25</v>
      </c>
      <c r="O67" s="5">
        <v>0</v>
      </c>
      <c r="P67" s="5">
        <v>0</v>
      </c>
      <c r="Q67" s="5">
        <v>0</v>
      </c>
      <c r="R67" s="5"/>
      <c r="S67" t="str">
        <v>紅ほっぺ</v>
      </c>
      <c r="T67">
        <v>30</v>
      </c>
      <c r="U67">
        <v>260</v>
      </c>
      <c r="V67">
        <v>0</v>
      </c>
      <c r="Y67" s="5" t="s">
        <v>32</v>
      </c>
      <c r="Z67" s="5" t="s">
        <v>40</v>
      </c>
      <c r="AA67" s="5">
        <v>2530</v>
      </c>
      <c r="AB67" s="5">
        <v>810</v>
      </c>
      <c r="AC67" s="5">
        <v>23</v>
      </c>
      <c r="AD67" s="5"/>
      <c r="AE67" s="5" t="s">
        <v>29</v>
      </c>
      <c r="AF67" s="5" t="s">
        <v>25</v>
      </c>
      <c r="AG67" s="8">
        <v>100</v>
      </c>
      <c r="AH67" s="5">
        <v>340</v>
      </c>
      <c r="AI67" s="5">
        <v>1</v>
      </c>
    </row>
    <row r="68" spans="1:35">
      <c r="A68" t="str">
        <v>かおり野</v>
      </c>
      <c r="B68">
        <v>1600</v>
      </c>
      <c r="C68">
        <v>500</v>
      </c>
      <c r="D68">
        <v>15</v>
      </c>
      <c r="G68" s="5" t="s">
        <v>41</v>
      </c>
      <c r="H68" s="5" t="s">
        <v>25</v>
      </c>
      <c r="I68" s="5">
        <v>740</v>
      </c>
      <c r="J68" s="5">
        <v>300</v>
      </c>
      <c r="K68" s="5">
        <v>4</v>
      </c>
      <c r="L68" s="5"/>
      <c r="M68" s="5" t="s">
        <v>27</v>
      </c>
      <c r="N68" s="5" t="s">
        <v>25</v>
      </c>
      <c r="O68" s="5">
        <v>740</v>
      </c>
      <c r="P68" s="5">
        <v>500</v>
      </c>
      <c r="Q68" s="5">
        <v>7</v>
      </c>
      <c r="R68" s="5"/>
      <c r="S68" t="str">
        <v>紅ほっぺ</v>
      </c>
      <c r="T68">
        <v>0</v>
      </c>
      <c r="U68">
        <v>0</v>
      </c>
      <c r="V68">
        <v>0</v>
      </c>
      <c r="Y68" s="5" t="s">
        <v>28</v>
      </c>
      <c r="Z68" s="5" t="s">
        <v>43</v>
      </c>
      <c r="AA68" s="5">
        <v>500</v>
      </c>
      <c r="AB68" s="5">
        <v>170</v>
      </c>
      <c r="AC68" s="5">
        <v>5</v>
      </c>
      <c r="AD68" s="5"/>
      <c r="AE68" s="5" t="s">
        <v>20</v>
      </c>
      <c r="AF68" s="5" t="s">
        <v>44</v>
      </c>
      <c r="AG68" s="8">
        <v>200</v>
      </c>
      <c r="AH68" s="5">
        <v>480</v>
      </c>
      <c r="AI68" s="5">
        <v>2</v>
      </c>
    </row>
    <row r="69" spans="1:35">
      <c r="A69" t="str">
        <v>かおり野</v>
      </c>
      <c r="B69">
        <v>300</v>
      </c>
      <c r="C69">
        <v>0</v>
      </c>
      <c r="D69">
        <v>0</v>
      </c>
      <c r="G69" s="5" t="s">
        <v>10</v>
      </c>
      <c r="H69" s="5" t="s">
        <v>34</v>
      </c>
      <c r="I69" s="5">
        <v>2160</v>
      </c>
      <c r="J69" s="5">
        <v>500</v>
      </c>
      <c r="K69" s="5">
        <v>15</v>
      </c>
      <c r="L69" s="5"/>
      <c r="M69" s="5" t="s">
        <v>32</v>
      </c>
      <c r="N69" s="5" t="s">
        <v>40</v>
      </c>
      <c r="O69" s="5">
        <v>600</v>
      </c>
      <c r="P69" s="5">
        <v>1760</v>
      </c>
      <c r="Q69" s="5">
        <v>5</v>
      </c>
      <c r="R69" s="5"/>
      <c r="S69" t="str">
        <v>紅ほっぺ</v>
      </c>
      <c r="T69">
        <v>540</v>
      </c>
      <c r="U69">
        <v>480</v>
      </c>
      <c r="V69">
        <v>3</v>
      </c>
      <c r="Y69" s="5" t="s">
        <v>45</v>
      </c>
      <c r="Z69" s="5" t="s">
        <v>25</v>
      </c>
      <c r="AA69" s="5">
        <v>140</v>
      </c>
      <c r="AB69" s="5">
        <v>140</v>
      </c>
      <c r="AC69" s="5">
        <v>1</v>
      </c>
      <c r="AD69" s="5"/>
      <c r="AE69" s="5" t="s">
        <v>27</v>
      </c>
      <c r="AF69" s="5" t="s">
        <v>25</v>
      </c>
      <c r="AG69" s="8">
        <v>240</v>
      </c>
      <c r="AH69" s="5">
        <v>760</v>
      </c>
      <c r="AI69" s="5">
        <v>2</v>
      </c>
    </row>
    <row r="70" spans="1:35">
      <c r="G70" s="5" t="s">
        <v>10</v>
      </c>
      <c r="H70" s="5" t="s">
        <v>21</v>
      </c>
      <c r="I70" s="5">
        <v>300</v>
      </c>
      <c r="J70" s="5">
        <v>90</v>
      </c>
      <c r="K70" s="5">
        <v>2</v>
      </c>
      <c r="L70" s="5"/>
      <c r="M70" s="5" t="s">
        <v>28</v>
      </c>
      <c r="N70" s="5" t="s">
        <v>34</v>
      </c>
      <c r="O70" s="5">
        <v>45</v>
      </c>
      <c r="P70" s="5">
        <v>426</v>
      </c>
      <c r="Q70" s="5">
        <v>1</v>
      </c>
      <c r="R70" s="5"/>
      <c r="S70" t="str">
        <v>紅ほっぺ</v>
      </c>
      <c r="T70">
        <v>0</v>
      </c>
      <c r="U70">
        <v>660</v>
      </c>
      <c r="V70">
        <v>0</v>
      </c>
      <c r="Y70" s="5" t="s">
        <v>30</v>
      </c>
      <c r="Z70" s="5" t="s">
        <v>25</v>
      </c>
      <c r="AA70" s="5">
        <v>610</v>
      </c>
      <c r="AB70" s="5">
        <v>90</v>
      </c>
      <c r="AC70" s="5">
        <v>6</v>
      </c>
      <c r="AD70" s="5"/>
      <c r="AE70" s="5" t="s">
        <v>32</v>
      </c>
      <c r="AF70" s="5" t="s">
        <v>40</v>
      </c>
      <c r="AG70" s="8">
        <v>110</v>
      </c>
      <c r="AH70" s="5">
        <v>330</v>
      </c>
      <c r="AI70" s="5">
        <v>1</v>
      </c>
    </row>
    <row r="71" spans="1:35">
      <c r="G71" s="5" t="s">
        <v>10</v>
      </c>
      <c r="H71" s="5" t="s">
        <v>23</v>
      </c>
      <c r="I71" s="5">
        <v>220</v>
      </c>
      <c r="J71" s="5">
        <v>120</v>
      </c>
      <c r="K71" s="5">
        <v>1</v>
      </c>
      <c r="L71" s="5"/>
      <c r="M71" s="5" t="s">
        <v>35</v>
      </c>
      <c r="N71" s="5" t="s">
        <v>25</v>
      </c>
      <c r="O71" s="5">
        <v>100</v>
      </c>
      <c r="P71" s="5">
        <v>320</v>
      </c>
      <c r="Q71" s="5">
        <v>1</v>
      </c>
      <c r="R71" s="5"/>
      <c r="S71" t="str">
        <v>紅ほっぺ（無）</v>
      </c>
      <c r="T71">
        <v>0</v>
      </c>
      <c r="U71">
        <v>550</v>
      </c>
      <c r="V71">
        <v>0</v>
      </c>
      <c r="Y71" s="5" t="s">
        <v>36</v>
      </c>
      <c r="Z71" s="5" t="s">
        <v>25</v>
      </c>
      <c r="AA71" s="5">
        <v>90</v>
      </c>
      <c r="AB71" s="5">
        <v>170</v>
      </c>
      <c r="AC71" s="5">
        <v>0</v>
      </c>
      <c r="AD71" s="5"/>
      <c r="AE71" s="5" t="s">
        <v>28</v>
      </c>
      <c r="AF71" s="5" t="s">
        <v>43</v>
      </c>
      <c r="AG71" s="8">
        <v>200</v>
      </c>
      <c r="AH71" s="5">
        <v>420</v>
      </c>
      <c r="AI71" s="5">
        <v>2</v>
      </c>
    </row>
    <row r="72" spans="1:35">
      <c r="G72" s="5" t="s">
        <v>10</v>
      </c>
      <c r="H72" s="5" t="s">
        <v>40</v>
      </c>
      <c r="I72" s="5">
        <v>180</v>
      </c>
      <c r="J72" s="5">
        <v>60</v>
      </c>
      <c r="K72" s="5">
        <v>1</v>
      </c>
      <c r="L72" s="5"/>
      <c r="M72" s="5" t="s">
        <v>30</v>
      </c>
      <c r="N72" s="5" t="s">
        <v>25</v>
      </c>
      <c r="O72" s="5">
        <v>430</v>
      </c>
      <c r="P72" s="5">
        <v>830</v>
      </c>
      <c r="Q72" s="5">
        <v>0</v>
      </c>
      <c r="R72" s="5"/>
      <c r="S72" t="str">
        <v>紅ほっぺ（無）</v>
      </c>
      <c r="T72">
        <v>0</v>
      </c>
      <c r="U72">
        <v>0</v>
      </c>
      <c r="V72">
        <v>0</v>
      </c>
      <c r="Y72" s="5" t="s">
        <v>37</v>
      </c>
      <c r="Z72" s="5" t="s">
        <v>40</v>
      </c>
      <c r="AA72" s="5">
        <v>1530</v>
      </c>
      <c r="AB72" s="5">
        <v>30</v>
      </c>
      <c r="AC72" s="5">
        <v>15</v>
      </c>
      <c r="AD72" s="5"/>
      <c r="AE72" s="5" t="s">
        <v>45</v>
      </c>
      <c r="AF72" s="5" t="s">
        <v>25</v>
      </c>
      <c r="AG72" s="8">
        <v>120</v>
      </c>
      <c r="AH72" s="5">
        <v>500</v>
      </c>
      <c r="AI72" s="5">
        <v>1</v>
      </c>
    </row>
    <row r="73" spans="1:35">
      <c r="M73" s="5" t="s">
        <v>36</v>
      </c>
      <c r="N73" s="5" t="s">
        <v>25</v>
      </c>
      <c r="O73" s="5">
        <v>300</v>
      </c>
      <c r="P73" s="5">
        <v>180</v>
      </c>
      <c r="Q73" s="5">
        <v>2</v>
      </c>
      <c r="R73" s="5"/>
      <c r="S73" t="str">
        <v>紅ほっぺ（無）</v>
      </c>
      <c r="T73">
        <v>1600</v>
      </c>
      <c r="U73">
        <v>1100</v>
      </c>
      <c r="V73">
        <v>5</v>
      </c>
      <c r="Y73" s="5" t="s">
        <v>19</v>
      </c>
      <c r="Z73" s="5" t="s">
        <v>23</v>
      </c>
      <c r="AA73" s="5">
        <v>2250</v>
      </c>
      <c r="AB73" s="5">
        <v>240</v>
      </c>
      <c r="AC73" s="5">
        <v>21</v>
      </c>
      <c r="AD73" s="5"/>
      <c r="AE73" s="5" t="s">
        <v>30</v>
      </c>
      <c r="AF73" s="5" t="s">
        <v>25</v>
      </c>
      <c r="AG73" s="8">
        <v>830</v>
      </c>
      <c r="AH73" s="5">
        <v>470</v>
      </c>
      <c r="AI73" s="5">
        <v>4</v>
      </c>
    </row>
    <row r="74" spans="1:35">
      <c r="G74" t="str" cm="1">
        <f t="array" ref="G74:J120">_xlfn._xlws.FILTER(H2:K72, (ISNUMBER(SEARCH("紅ほっぺ",H2:H72))) + (ISNUMBER(SEARCH("無", H2:H72))) )</f>
        <v>紅ほっぺ（断）</v>
      </c>
      <c r="H74">
        <v>320</v>
      </c>
      <c r="I74">
        <v>0</v>
      </c>
      <c r="J74">
        <v>0</v>
      </c>
      <c r="M74" s="5" t="s">
        <v>37</v>
      </c>
      <c r="N74" s="5" t="s">
        <v>40</v>
      </c>
      <c r="O74" s="5">
        <v>0</v>
      </c>
      <c r="P74" s="5">
        <v>0</v>
      </c>
      <c r="Q74" s="5">
        <v>0</v>
      </c>
      <c r="R74" s="5"/>
      <c r="S74" t="str">
        <v>紅ほっぺ（無）</v>
      </c>
      <c r="T74">
        <v>580</v>
      </c>
      <c r="U74">
        <v>1480</v>
      </c>
      <c r="V74">
        <v>10</v>
      </c>
      <c r="Y74" s="5" t="s">
        <v>19</v>
      </c>
      <c r="Z74" s="5" t="s">
        <v>43</v>
      </c>
      <c r="AA74" s="5">
        <v>1600</v>
      </c>
      <c r="AB74" s="5">
        <v>860</v>
      </c>
      <c r="AC74" s="5">
        <v>15</v>
      </c>
      <c r="AD74" s="5"/>
      <c r="AE74" s="5" t="s">
        <v>19</v>
      </c>
      <c r="AF74" s="5" t="s">
        <v>23</v>
      </c>
      <c r="AG74" s="8">
        <v>300</v>
      </c>
      <c r="AH74" s="5">
        <v>4860</v>
      </c>
      <c r="AI74" s="5">
        <v>3</v>
      </c>
    </row>
    <row r="75" spans="1:35">
      <c r="G75" t="str">
        <v>紅ほっぺ（断）</v>
      </c>
      <c r="H75">
        <v>60</v>
      </c>
      <c r="I75">
        <v>0</v>
      </c>
      <c r="J75">
        <v>0</v>
      </c>
      <c r="M75" s="5" t="s">
        <v>13</v>
      </c>
      <c r="N75" s="5" t="s">
        <v>25</v>
      </c>
      <c r="O75" s="5">
        <v>0</v>
      </c>
      <c r="P75" s="5">
        <v>0</v>
      </c>
      <c r="Q75" s="5">
        <v>0</v>
      </c>
      <c r="R75" s="5"/>
      <c r="S75" t="str">
        <v>紅ほっぺ</v>
      </c>
      <c r="T75">
        <v>0</v>
      </c>
      <c r="U75">
        <v>0</v>
      </c>
      <c r="V75">
        <v>0</v>
      </c>
      <c r="Y75" s="5" t="s">
        <v>26</v>
      </c>
      <c r="Z75" s="5" t="s">
        <v>43</v>
      </c>
      <c r="AA75" s="5">
        <v>880</v>
      </c>
      <c r="AB75" s="5">
        <v>670</v>
      </c>
      <c r="AC75" s="5">
        <v>8</v>
      </c>
      <c r="AD75" s="5"/>
      <c r="AE75" s="5" t="s">
        <v>19</v>
      </c>
      <c r="AF75" s="5" t="s">
        <v>43</v>
      </c>
      <c r="AG75" s="8">
        <v>2730</v>
      </c>
      <c r="AH75" s="5">
        <v>4220</v>
      </c>
      <c r="AI75" s="5">
        <v>14</v>
      </c>
    </row>
    <row r="76" spans="1:35">
      <c r="G76" t="str">
        <v>紅ほっぺ</v>
      </c>
      <c r="H76">
        <v>960</v>
      </c>
      <c r="I76">
        <v>0</v>
      </c>
      <c r="J76">
        <v>5</v>
      </c>
      <c r="M76" s="5" t="s">
        <v>17</v>
      </c>
      <c r="N76" s="5" t="s">
        <v>34</v>
      </c>
      <c r="O76" s="5">
        <v>167</v>
      </c>
      <c r="P76" s="5">
        <v>366</v>
      </c>
      <c r="Q76" s="5">
        <v>1</v>
      </c>
      <c r="R76" s="5"/>
      <c r="S76" t="str">
        <v>紅ほっぺ（無）</v>
      </c>
      <c r="T76">
        <v>4620</v>
      </c>
      <c r="U76">
        <v>0</v>
      </c>
      <c r="V76">
        <v>30</v>
      </c>
      <c r="Y76" s="5" t="s">
        <v>26</v>
      </c>
      <c r="Z76" s="5" t="s">
        <v>40</v>
      </c>
      <c r="AA76" s="5">
        <v>460</v>
      </c>
      <c r="AB76" s="5">
        <v>0</v>
      </c>
      <c r="AC76" s="5">
        <v>2</v>
      </c>
      <c r="AD76" s="5"/>
      <c r="AE76" s="5" t="s">
        <v>26</v>
      </c>
      <c r="AF76" s="5" t="s">
        <v>43</v>
      </c>
      <c r="AG76" s="8">
        <v>410</v>
      </c>
      <c r="AH76" s="5">
        <v>880</v>
      </c>
      <c r="AI76" s="5">
        <v>2</v>
      </c>
    </row>
    <row r="77" spans="1:35">
      <c r="G77" t="str">
        <v>紅ほっぺ（断）</v>
      </c>
      <c r="H77">
        <v>240</v>
      </c>
      <c r="I77">
        <v>0</v>
      </c>
      <c r="J77">
        <v>0</v>
      </c>
      <c r="M77" s="5" t="s">
        <v>19</v>
      </c>
      <c r="N77" s="5" t="s">
        <v>23</v>
      </c>
      <c r="O77" s="5">
        <v>1326</v>
      </c>
      <c r="P77" s="5">
        <v>2050</v>
      </c>
      <c r="Q77" s="5">
        <v>12</v>
      </c>
      <c r="R77" s="5"/>
      <c r="S77" t="str">
        <v>紅ほっぺ</v>
      </c>
      <c r="T77">
        <v>466</v>
      </c>
      <c r="U77">
        <v>1474</v>
      </c>
      <c r="V77">
        <v>3</v>
      </c>
      <c r="Y77" s="5" t="s">
        <v>10</v>
      </c>
      <c r="Z77" s="5" t="s">
        <v>43</v>
      </c>
      <c r="AA77" s="5">
        <v>100</v>
      </c>
      <c r="AB77" s="5">
        <v>400</v>
      </c>
      <c r="AC77" s="5">
        <v>1</v>
      </c>
      <c r="AD77" s="5"/>
      <c r="AE77" s="5" t="s">
        <v>26</v>
      </c>
      <c r="AF77" s="5" t="s">
        <v>40</v>
      </c>
      <c r="AG77" s="8">
        <v>850</v>
      </c>
      <c r="AH77" s="5">
        <v>0</v>
      </c>
      <c r="AI77" s="5">
        <v>6</v>
      </c>
    </row>
    <row r="78" spans="1:35">
      <c r="G78" t="str">
        <v>紅ほっぺ</v>
      </c>
      <c r="H78">
        <v>3940</v>
      </c>
      <c r="I78">
        <v>0</v>
      </c>
      <c r="J78">
        <v>28</v>
      </c>
      <c r="M78" s="5" t="s">
        <v>31</v>
      </c>
      <c r="N78" s="5" t="s">
        <v>34</v>
      </c>
      <c r="O78" s="5">
        <v>0</v>
      </c>
      <c r="P78" s="5">
        <v>0</v>
      </c>
      <c r="Q78" s="5">
        <v>0</v>
      </c>
      <c r="R78" s="5"/>
      <c r="S78" t="str">
        <v>紅ほっぺ</v>
      </c>
      <c r="T78">
        <v>180</v>
      </c>
      <c r="U78">
        <v>80</v>
      </c>
      <c r="V78">
        <v>1</v>
      </c>
      <c r="Y78" s="5" t="s">
        <v>10</v>
      </c>
      <c r="Z78" s="5" t="s">
        <v>44</v>
      </c>
      <c r="AA78" s="5">
        <v>100</v>
      </c>
      <c r="AB78" s="5">
        <v>80</v>
      </c>
      <c r="AC78" s="5">
        <v>1</v>
      </c>
      <c r="AD78" s="5"/>
      <c r="AE78" s="5" t="s">
        <v>10</v>
      </c>
      <c r="AF78" s="5" t="s">
        <v>43</v>
      </c>
      <c r="AG78" s="8">
        <v>0</v>
      </c>
      <c r="AH78" s="5">
        <v>1940</v>
      </c>
      <c r="AI78" s="5">
        <v>0</v>
      </c>
    </row>
    <row r="79" spans="1:35">
      <c r="G79" t="str">
        <v>紅ほっぺ</v>
      </c>
      <c r="H79">
        <v>340</v>
      </c>
      <c r="I79">
        <v>0</v>
      </c>
      <c r="J79">
        <v>0</v>
      </c>
      <c r="M79" s="5" t="s">
        <v>19</v>
      </c>
      <c r="N79" s="5" t="s">
        <v>34</v>
      </c>
      <c r="O79" s="5">
        <v>280</v>
      </c>
      <c r="P79" s="5">
        <v>1610</v>
      </c>
      <c r="Q79" s="5">
        <v>0</v>
      </c>
      <c r="R79" s="5"/>
      <c r="S79" t="str">
        <v>無</v>
      </c>
      <c r="T79">
        <v>0</v>
      </c>
      <c r="U79">
        <v>634</v>
      </c>
      <c r="V79">
        <v>0</v>
      </c>
      <c r="Y79" s="5" t="s">
        <v>10</v>
      </c>
      <c r="Z79" s="5" t="s">
        <v>23</v>
      </c>
      <c r="AA79" s="5">
        <v>140</v>
      </c>
      <c r="AB79" s="5">
        <v>600</v>
      </c>
      <c r="AC79" s="5">
        <v>6</v>
      </c>
      <c r="AD79" s="5"/>
      <c r="AE79" s="5" t="s">
        <v>10</v>
      </c>
      <c r="AF79" s="5" t="s">
        <v>44</v>
      </c>
      <c r="AG79" s="8">
        <v>0</v>
      </c>
      <c r="AH79" s="5">
        <v>420</v>
      </c>
      <c r="AI79" s="5">
        <v>0</v>
      </c>
    </row>
    <row r="80" spans="1:35">
      <c r="G80" t="str">
        <v>紅ほっぺ（断）</v>
      </c>
      <c r="H80">
        <v>100</v>
      </c>
      <c r="I80">
        <v>0</v>
      </c>
      <c r="J80">
        <v>0</v>
      </c>
      <c r="M80" s="5" t="s">
        <v>10</v>
      </c>
      <c r="N80" s="5" t="s">
        <v>34</v>
      </c>
      <c r="O80" s="5">
        <v>5460</v>
      </c>
      <c r="P80" s="5">
        <v>500</v>
      </c>
      <c r="Q80" s="5">
        <v>20</v>
      </c>
      <c r="R80" s="5"/>
      <c r="S80" t="str">
        <v>紅ほっぺ</v>
      </c>
      <c r="T80">
        <v>0</v>
      </c>
      <c r="U80">
        <v>40</v>
      </c>
      <c r="V80">
        <v>0</v>
      </c>
      <c r="Y80" s="5" t="s">
        <v>10</v>
      </c>
      <c r="Z80" s="5" t="s">
        <v>40</v>
      </c>
      <c r="AA80" s="5">
        <v>900</v>
      </c>
      <c r="AB80" s="5">
        <v>780</v>
      </c>
      <c r="AC80" s="5">
        <v>6</v>
      </c>
      <c r="AD80" s="5"/>
      <c r="AE80" s="5" t="s">
        <v>10</v>
      </c>
      <c r="AF80" s="5" t="s">
        <v>23</v>
      </c>
      <c r="AG80" s="8">
        <v>0</v>
      </c>
      <c r="AH80" s="5">
        <v>460</v>
      </c>
      <c r="AI80" s="5">
        <v>0</v>
      </c>
    </row>
    <row r="81" spans="7:35">
      <c r="G81" t="str">
        <v>紅ほっぺ</v>
      </c>
      <c r="H81">
        <v>1140</v>
      </c>
      <c r="I81">
        <v>0</v>
      </c>
      <c r="J81">
        <v>0</v>
      </c>
      <c r="M81" s="5" t="s">
        <v>41</v>
      </c>
      <c r="N81" s="5" t="s">
        <v>25</v>
      </c>
      <c r="O81" s="5">
        <v>0</v>
      </c>
      <c r="P81" s="5">
        <v>0</v>
      </c>
      <c r="Q81" s="5">
        <v>0</v>
      </c>
      <c r="R81" s="5"/>
      <c r="S81" t="str">
        <v>紅ほっぺ</v>
      </c>
      <c r="T81">
        <v>76</v>
      </c>
      <c r="U81">
        <v>104</v>
      </c>
      <c r="V81">
        <v>0</v>
      </c>
      <c r="AE81" s="5" t="s">
        <v>10</v>
      </c>
      <c r="AF81" s="5" t="s">
        <v>40</v>
      </c>
      <c r="AG81" s="8">
        <v>0</v>
      </c>
      <c r="AH81" s="5">
        <v>540</v>
      </c>
      <c r="AI81" s="5">
        <v>0</v>
      </c>
    </row>
    <row r="82" spans="7:35">
      <c r="G82" t="str">
        <v>紅ほっぺ（断）</v>
      </c>
      <c r="H82">
        <v>1120</v>
      </c>
      <c r="I82">
        <v>0</v>
      </c>
      <c r="J82">
        <v>10</v>
      </c>
      <c r="M82" s="5" t="s">
        <v>10</v>
      </c>
      <c r="N82" s="5" t="s">
        <v>34</v>
      </c>
      <c r="O82" s="5">
        <v>0</v>
      </c>
      <c r="P82" s="5">
        <v>0</v>
      </c>
      <c r="Q82" s="5">
        <v>0</v>
      </c>
      <c r="R82" s="5"/>
      <c r="S82" t="str">
        <v>無</v>
      </c>
      <c r="T82">
        <v>0</v>
      </c>
      <c r="U82">
        <v>180</v>
      </c>
      <c r="V82">
        <v>0</v>
      </c>
      <c r="Y82" t="str" cm="1">
        <f t="array" ref="Y82:AB122">_xlfn._xlws.FILTER(Z2:AC80, (ISNUMBER(SEARCH("紅ほっぺ",Z2:Z80))) + (ISNUMBER(SEARCH("無", Z2:Z80))) )</f>
        <v>紅ほっぺ</v>
      </c>
      <c r="Z82">
        <v>0</v>
      </c>
      <c r="AA82">
        <v>260</v>
      </c>
      <c r="AB82">
        <v>0</v>
      </c>
      <c r="AE82" s="5" t="s">
        <v>27</v>
      </c>
      <c r="AF82" s="5" t="s">
        <v>25</v>
      </c>
      <c r="AG82" s="8">
        <v>210</v>
      </c>
      <c r="AH82" s="5">
        <v>310</v>
      </c>
      <c r="AI82" s="5">
        <v>2</v>
      </c>
    </row>
    <row r="83" spans="7:35">
      <c r="G83" t="str">
        <v>紅ほっぺ</v>
      </c>
      <c r="H83">
        <v>600</v>
      </c>
      <c r="I83">
        <v>0</v>
      </c>
      <c r="J83">
        <v>5</v>
      </c>
      <c r="M83" s="5" t="s">
        <v>10</v>
      </c>
      <c r="N83" s="5" t="s">
        <v>21</v>
      </c>
      <c r="O83" s="5">
        <v>340</v>
      </c>
      <c r="P83" s="5">
        <v>1840</v>
      </c>
      <c r="Q83" s="5">
        <v>1</v>
      </c>
      <c r="R83" s="5"/>
      <c r="S83" t="str">
        <v>無</v>
      </c>
      <c r="T83">
        <v>0</v>
      </c>
      <c r="U83">
        <v>240</v>
      </c>
      <c r="V83">
        <v>0</v>
      </c>
      <c r="Y83" t="str">
        <v>無</v>
      </c>
      <c r="Z83">
        <v>20</v>
      </c>
      <c r="AA83">
        <v>170</v>
      </c>
      <c r="AB83">
        <v>0</v>
      </c>
      <c r="AE83" s="5" t="s">
        <v>28</v>
      </c>
      <c r="AF83" s="5" t="s">
        <v>43</v>
      </c>
      <c r="AG83" s="8">
        <v>170</v>
      </c>
      <c r="AH83" s="5">
        <v>150</v>
      </c>
      <c r="AI83" s="5">
        <v>0</v>
      </c>
    </row>
    <row r="84" spans="7:35">
      <c r="G84" t="str">
        <v>紅ほっぺ（断）</v>
      </c>
      <c r="H84">
        <v>300</v>
      </c>
      <c r="I84">
        <v>0</v>
      </c>
      <c r="J84">
        <v>1</v>
      </c>
      <c r="M84" s="5" t="s">
        <v>10</v>
      </c>
      <c r="N84" s="5" t="s">
        <v>23</v>
      </c>
      <c r="O84" s="5">
        <v>300</v>
      </c>
      <c r="P84" s="5">
        <v>0</v>
      </c>
      <c r="Q84" s="5">
        <v>3</v>
      </c>
      <c r="R84" s="5"/>
      <c r="S84" t="str">
        <v>無</v>
      </c>
      <c r="T84">
        <v>0</v>
      </c>
      <c r="U84">
        <v>630</v>
      </c>
      <c r="V84">
        <v>0</v>
      </c>
      <c r="Y84" t="str">
        <v>紅ほっぺ</v>
      </c>
      <c r="Z84">
        <v>0</v>
      </c>
      <c r="AA84">
        <v>80</v>
      </c>
      <c r="AB84">
        <v>0</v>
      </c>
      <c r="AE84" s="5" t="s">
        <v>30</v>
      </c>
      <c r="AF84" s="5" t="s">
        <v>25</v>
      </c>
      <c r="AG84" s="8">
        <v>900</v>
      </c>
      <c r="AH84" s="5">
        <v>600</v>
      </c>
      <c r="AI84" s="5">
        <v>0</v>
      </c>
    </row>
    <row r="85" spans="7:35">
      <c r="G85" t="str">
        <v>紅ほっぺ</v>
      </c>
      <c r="H85">
        <v>980</v>
      </c>
      <c r="I85">
        <v>0</v>
      </c>
      <c r="J85">
        <v>8</v>
      </c>
      <c r="M85" s="5" t="s">
        <v>10</v>
      </c>
      <c r="N85" s="5" t="s">
        <v>40</v>
      </c>
      <c r="O85" s="5">
        <v>0</v>
      </c>
      <c r="P85" s="5">
        <v>0</v>
      </c>
      <c r="Q85" s="5">
        <v>0</v>
      </c>
      <c r="R85" s="5"/>
      <c r="S85" t="str">
        <v>無</v>
      </c>
      <c r="T85">
        <v>400</v>
      </c>
      <c r="U85">
        <v>1240</v>
      </c>
      <c r="V85">
        <v>3</v>
      </c>
      <c r="Y85" t="str">
        <v>無</v>
      </c>
      <c r="Z85">
        <v>460</v>
      </c>
      <c r="AA85">
        <v>240</v>
      </c>
      <c r="AB85">
        <v>2</v>
      </c>
      <c r="AE85" s="5" t="s">
        <v>36</v>
      </c>
      <c r="AF85" s="5" t="s">
        <v>25</v>
      </c>
      <c r="AG85" s="8">
        <v>40</v>
      </c>
      <c r="AH85" s="5">
        <v>350</v>
      </c>
      <c r="AI85" s="5">
        <v>0</v>
      </c>
    </row>
    <row r="86" spans="7:35">
      <c r="G86" t="str">
        <v>紅ほっぺ</v>
      </c>
      <c r="H86">
        <v>500</v>
      </c>
      <c r="I86">
        <v>0</v>
      </c>
      <c r="J86">
        <v>3</v>
      </c>
      <c r="S86" t="str">
        <v>無</v>
      </c>
      <c r="T86">
        <v>2420</v>
      </c>
      <c r="U86">
        <v>4140</v>
      </c>
      <c r="V86">
        <v>17</v>
      </c>
      <c r="Y86" t="str">
        <v>無</v>
      </c>
      <c r="Z86">
        <v>530</v>
      </c>
      <c r="AA86">
        <v>1110</v>
      </c>
      <c r="AB86">
        <v>5</v>
      </c>
      <c r="AE86" s="5" t="s">
        <v>37</v>
      </c>
      <c r="AF86" s="5" t="s">
        <v>40</v>
      </c>
      <c r="AG86" s="8">
        <v>1900</v>
      </c>
      <c r="AH86" s="5">
        <v>2800</v>
      </c>
      <c r="AI86" s="5">
        <v>13</v>
      </c>
    </row>
    <row r="87" spans="7:35">
      <c r="G87" t="str">
        <v>紅ほっぺ（断）</v>
      </c>
      <c r="H87">
        <v>380</v>
      </c>
      <c r="I87">
        <v>0</v>
      </c>
      <c r="J87">
        <v>2</v>
      </c>
      <c r="M87" t="str" cm="1">
        <f t="array" ref="M87:P142">_xlfn._xlws.FILTER(N2:Q85, (ISNUMBER(SEARCH("紅ほっぺ", N2:N85))) + (ISNUMBER(SEARCH("無", N2:N85))) )</f>
        <v>紅ほっぺ</v>
      </c>
      <c r="N87">
        <v>300</v>
      </c>
      <c r="O87">
        <v>240</v>
      </c>
      <c r="P87">
        <v>3</v>
      </c>
      <c r="S87" t="str">
        <v>紅ほっぺ</v>
      </c>
      <c r="T87">
        <v>0</v>
      </c>
      <c r="U87">
        <v>40</v>
      </c>
      <c r="V87">
        <v>0</v>
      </c>
      <c r="Y87" t="str">
        <v>紅ほっぺ</v>
      </c>
      <c r="Z87">
        <v>100</v>
      </c>
      <c r="AA87">
        <v>160</v>
      </c>
      <c r="AB87">
        <v>1</v>
      </c>
      <c r="AE87" s="5" t="s">
        <v>13</v>
      </c>
      <c r="AF87" s="5" t="s">
        <v>25</v>
      </c>
      <c r="AG87" s="8">
        <v>140</v>
      </c>
      <c r="AH87" s="5">
        <v>520</v>
      </c>
      <c r="AI87" s="5">
        <v>1</v>
      </c>
    </row>
    <row r="88" spans="7:35">
      <c r="G88" t="str">
        <v>紅ほっぺ（断）</v>
      </c>
      <c r="H88">
        <v>1480</v>
      </c>
      <c r="I88">
        <v>0</v>
      </c>
      <c r="J88">
        <v>13</v>
      </c>
      <c r="M88" t="str">
        <v>紅ほっぺ</v>
      </c>
      <c r="N88">
        <v>160</v>
      </c>
      <c r="O88">
        <v>380</v>
      </c>
      <c r="P88">
        <v>1</v>
      </c>
      <c r="S88" t="str">
        <v>紅ほっぺ</v>
      </c>
      <c r="T88">
        <v>0</v>
      </c>
      <c r="U88">
        <v>240</v>
      </c>
      <c r="V88">
        <v>0</v>
      </c>
      <c r="Y88" t="str">
        <v>無</v>
      </c>
      <c r="Z88">
        <v>590</v>
      </c>
      <c r="AA88">
        <v>430</v>
      </c>
      <c r="AB88">
        <v>4</v>
      </c>
      <c r="AE88" s="5" t="s">
        <v>17</v>
      </c>
      <c r="AF88" s="5" t="s">
        <v>43</v>
      </c>
      <c r="AG88" s="8">
        <v>150</v>
      </c>
      <c r="AH88" s="5">
        <v>0</v>
      </c>
      <c r="AI88" s="5">
        <v>1</v>
      </c>
    </row>
    <row r="89" spans="7:35">
      <c r="G89" t="str">
        <v>紅ほっぺ</v>
      </c>
      <c r="H89">
        <v>1500</v>
      </c>
      <c r="I89">
        <v>0</v>
      </c>
      <c r="J89">
        <v>13</v>
      </c>
      <c r="M89" t="str">
        <v>紅ほっぺ</v>
      </c>
      <c r="N89">
        <v>780</v>
      </c>
      <c r="O89">
        <v>260</v>
      </c>
      <c r="P89">
        <v>7</v>
      </c>
      <c r="S89" t="str">
        <v>無</v>
      </c>
      <c r="T89">
        <v>0</v>
      </c>
      <c r="U89">
        <v>165</v>
      </c>
      <c r="V89">
        <v>0</v>
      </c>
      <c r="Y89" t="str">
        <v>紅ほっぺ</v>
      </c>
      <c r="Z89">
        <v>110</v>
      </c>
      <c r="AA89">
        <v>170</v>
      </c>
      <c r="AB89">
        <v>1</v>
      </c>
      <c r="AE89" s="5" t="s">
        <v>19</v>
      </c>
      <c r="AF89" s="5" t="s">
        <v>23</v>
      </c>
      <c r="AG89" s="8">
        <v>330</v>
      </c>
      <c r="AH89" s="5">
        <v>1970</v>
      </c>
      <c r="AI89" s="5">
        <v>2</v>
      </c>
    </row>
    <row r="90" spans="7:35">
      <c r="G90" t="str">
        <v>紅ほっぺ（断）</v>
      </c>
      <c r="H90">
        <v>420</v>
      </c>
      <c r="I90">
        <v>0</v>
      </c>
      <c r="J90">
        <v>3</v>
      </c>
      <c r="M90" t="str">
        <v>紅ほっぺ（無）</v>
      </c>
      <c r="N90">
        <v>330</v>
      </c>
      <c r="O90">
        <v>190</v>
      </c>
      <c r="P90">
        <v>3</v>
      </c>
      <c r="S90" t="str">
        <v>無</v>
      </c>
      <c r="T90">
        <v>270</v>
      </c>
      <c r="U90">
        <v>510</v>
      </c>
      <c r="V90">
        <v>2</v>
      </c>
      <c r="Y90" t="str">
        <v>無</v>
      </c>
      <c r="Z90">
        <v>130</v>
      </c>
      <c r="AA90">
        <v>170</v>
      </c>
      <c r="AB90">
        <v>1</v>
      </c>
      <c r="AE90" s="5" t="s">
        <v>19</v>
      </c>
      <c r="AF90" s="5" t="s">
        <v>43</v>
      </c>
      <c r="AG90" s="8">
        <v>1400</v>
      </c>
      <c r="AH90" s="5">
        <v>1700</v>
      </c>
      <c r="AI90" s="5">
        <v>11</v>
      </c>
    </row>
    <row r="91" spans="7:35">
      <c r="G91" t="str">
        <v>紅ほっぺ</v>
      </c>
      <c r="H91">
        <v>1320</v>
      </c>
      <c r="I91">
        <v>0</v>
      </c>
      <c r="J91">
        <v>11</v>
      </c>
      <c r="M91" t="str">
        <v>紅ほっぺ</v>
      </c>
      <c r="N91">
        <v>730</v>
      </c>
      <c r="O91">
        <v>390</v>
      </c>
      <c r="P91">
        <v>5</v>
      </c>
      <c r="S91" t="str">
        <v>無</v>
      </c>
      <c r="T91">
        <v>1700</v>
      </c>
      <c r="U91">
        <v>2540</v>
      </c>
      <c r="V91">
        <v>15</v>
      </c>
      <c r="Y91" t="str">
        <v>紅ほっぺ</v>
      </c>
      <c r="Z91">
        <v>100</v>
      </c>
      <c r="AA91">
        <v>40</v>
      </c>
      <c r="AB91">
        <v>1</v>
      </c>
      <c r="AE91" s="5" t="s">
        <v>26</v>
      </c>
      <c r="AF91" s="5" t="s">
        <v>43</v>
      </c>
      <c r="AG91" s="8">
        <v>240</v>
      </c>
      <c r="AH91" s="5">
        <v>0</v>
      </c>
      <c r="AI91" s="5">
        <v>2</v>
      </c>
    </row>
    <row r="92" spans="7:35">
      <c r="G92" t="str">
        <v>紅ほっぺ</v>
      </c>
      <c r="H92">
        <v>820</v>
      </c>
      <c r="I92">
        <v>0</v>
      </c>
      <c r="J92">
        <v>7</v>
      </c>
      <c r="M92" t="str">
        <v>紅ほっぺ</v>
      </c>
      <c r="N92">
        <v>1960</v>
      </c>
      <c r="O92">
        <v>880</v>
      </c>
      <c r="P92">
        <v>18</v>
      </c>
      <c r="S92" t="str">
        <v>無</v>
      </c>
      <c r="T92">
        <v>0</v>
      </c>
      <c r="U92">
        <v>120</v>
      </c>
      <c r="V92">
        <v>0</v>
      </c>
      <c r="Y92" t="str">
        <v>紅ほっぺ</v>
      </c>
      <c r="Z92">
        <v>340</v>
      </c>
      <c r="AA92">
        <v>320</v>
      </c>
      <c r="AB92">
        <v>3</v>
      </c>
      <c r="AE92" s="5" t="s">
        <v>26</v>
      </c>
      <c r="AF92" s="5" t="s">
        <v>40</v>
      </c>
      <c r="AG92" s="8">
        <v>480</v>
      </c>
      <c r="AH92" s="5">
        <v>0</v>
      </c>
      <c r="AI92" s="5">
        <v>4</v>
      </c>
    </row>
    <row r="93" spans="7:35">
      <c r="G93" t="str">
        <v>紅ほっぺ（断）</v>
      </c>
      <c r="H93">
        <v>2300</v>
      </c>
      <c r="I93">
        <v>0</v>
      </c>
      <c r="J93">
        <v>21</v>
      </c>
      <c r="M93" t="str">
        <v>紅ほっぺ</v>
      </c>
      <c r="N93">
        <v>114</v>
      </c>
      <c r="O93">
        <v>366</v>
      </c>
      <c r="P93">
        <v>1</v>
      </c>
      <c r="S93" t="str">
        <v>紅ほっぺ</v>
      </c>
      <c r="T93">
        <v>0</v>
      </c>
      <c r="U93">
        <v>120</v>
      </c>
      <c r="V93">
        <v>0</v>
      </c>
      <c r="Y93" t="str">
        <v>紅ほっぺ</v>
      </c>
      <c r="Z93">
        <v>0</v>
      </c>
      <c r="AA93">
        <v>260</v>
      </c>
      <c r="AB93">
        <v>0</v>
      </c>
    </row>
    <row r="94" spans="7:35">
      <c r="G94" t="str">
        <v>紅ほっぺ</v>
      </c>
      <c r="H94">
        <v>740</v>
      </c>
      <c r="I94">
        <v>0</v>
      </c>
      <c r="J94">
        <v>6</v>
      </c>
      <c r="M94" t="str">
        <v>紅ほっぺ</v>
      </c>
      <c r="N94">
        <v>500</v>
      </c>
      <c r="O94">
        <v>320</v>
      </c>
      <c r="P94">
        <v>0</v>
      </c>
      <c r="S94" t="str">
        <v>無</v>
      </c>
      <c r="T94">
        <v>230</v>
      </c>
      <c r="U94">
        <v>620</v>
      </c>
      <c r="V94">
        <v>2</v>
      </c>
      <c r="Y94" t="str">
        <v>無</v>
      </c>
      <c r="Z94">
        <v>420</v>
      </c>
      <c r="AA94">
        <v>1820</v>
      </c>
      <c r="AB94">
        <v>4</v>
      </c>
      <c r="AE94" t="str" cm="1">
        <f t="array" ref="AE94:AH145">_xlfn._xlws.FILTER(AF2:AI92, (ISNUMBER(SEARCH("紅ほっぺ", AF2:AF92))) + (ISNUMBER(SEARCH("無", AF2:AF92))) )</f>
        <v>紅ほっぺ</v>
      </c>
      <c r="AF94">
        <v>160</v>
      </c>
      <c r="AG94">
        <v>260</v>
      </c>
      <c r="AH94">
        <v>1</v>
      </c>
    </row>
    <row r="95" spans="7:35">
      <c r="G95" t="str">
        <v>紅ほっぺ</v>
      </c>
      <c r="H95">
        <v>886</v>
      </c>
      <c r="I95">
        <v>654</v>
      </c>
      <c r="J95">
        <v>8</v>
      </c>
      <c r="M95" t="str">
        <v>紅ほっぺ（無）</v>
      </c>
      <c r="N95">
        <v>420</v>
      </c>
      <c r="O95">
        <v>260</v>
      </c>
      <c r="P95">
        <v>4</v>
      </c>
      <c r="S95" t="str">
        <v>無</v>
      </c>
      <c r="T95">
        <v>980</v>
      </c>
      <c r="U95">
        <v>3180</v>
      </c>
      <c r="V95">
        <v>9</v>
      </c>
      <c r="Y95" t="str">
        <v>紅ほっぺ</v>
      </c>
      <c r="Z95">
        <v>0</v>
      </c>
      <c r="AA95">
        <v>630</v>
      </c>
      <c r="AB95">
        <v>0</v>
      </c>
      <c r="AE95" t="str">
        <v>無</v>
      </c>
      <c r="AF95">
        <v>210</v>
      </c>
      <c r="AG95">
        <v>30</v>
      </c>
      <c r="AH95">
        <v>2</v>
      </c>
    </row>
    <row r="96" spans="7:35">
      <c r="G96" t="str">
        <v>紅ほっぺ</v>
      </c>
      <c r="H96">
        <v>880</v>
      </c>
      <c r="I96">
        <v>208</v>
      </c>
      <c r="J96">
        <v>7</v>
      </c>
      <c r="M96" t="str">
        <v>紅ほっぺ（無）</v>
      </c>
      <c r="N96">
        <v>0</v>
      </c>
      <c r="O96">
        <v>0</v>
      </c>
      <c r="P96">
        <v>0</v>
      </c>
      <c r="Y96" t="str">
        <v>紅ほっぺ</v>
      </c>
      <c r="Z96">
        <v>310</v>
      </c>
      <c r="AA96">
        <v>190</v>
      </c>
      <c r="AB96">
        <v>4</v>
      </c>
      <c r="AE96" t="str">
        <v>紅ほっぺ</v>
      </c>
      <c r="AF96">
        <v>300</v>
      </c>
      <c r="AG96">
        <v>80</v>
      </c>
      <c r="AH96">
        <v>3</v>
      </c>
    </row>
    <row r="97" spans="7:34">
      <c r="G97" t="str">
        <v>紅ほっぺ（無）</v>
      </c>
      <c r="H97">
        <v>950</v>
      </c>
      <c r="I97">
        <v>130</v>
      </c>
      <c r="J97">
        <v>8</v>
      </c>
      <c r="M97" t="str">
        <v>紅ほっぺ（無）</v>
      </c>
      <c r="N97">
        <v>2300</v>
      </c>
      <c r="O97">
        <v>2707</v>
      </c>
      <c r="P97">
        <v>23</v>
      </c>
      <c r="S97" s="9" t="str" cm="1">
        <f t="array" ref="S97:V107">_xlfn._xlws.FILTER(T2:W61,ISNUMBER(SEARCH("やよい",T2:T61)))</f>
        <v>やよいひめ</v>
      </c>
      <c r="T97">
        <v>250</v>
      </c>
      <c r="U97">
        <v>1510</v>
      </c>
      <c r="V97">
        <v>2</v>
      </c>
      <c r="Y97" t="str">
        <v>無</v>
      </c>
      <c r="Z97">
        <v>450</v>
      </c>
      <c r="AA97">
        <v>260</v>
      </c>
      <c r="AB97">
        <v>4</v>
      </c>
      <c r="AE97" t="str">
        <v>紅ほっぺ</v>
      </c>
      <c r="AF97">
        <v>790</v>
      </c>
      <c r="AG97">
        <v>250</v>
      </c>
      <c r="AH97">
        <v>8</v>
      </c>
    </row>
    <row r="98" spans="7:34">
      <c r="G98" t="str">
        <v>紅ほっぺ</v>
      </c>
      <c r="H98">
        <v>1080</v>
      </c>
      <c r="I98">
        <v>740</v>
      </c>
      <c r="J98">
        <v>9</v>
      </c>
      <c r="M98" t="str">
        <v>紅ほっぺ（無）</v>
      </c>
      <c r="N98">
        <v>1468</v>
      </c>
      <c r="O98">
        <v>332</v>
      </c>
      <c r="P98">
        <v>12</v>
      </c>
      <c r="S98" t="str">
        <v>やよいひめ</v>
      </c>
      <c r="T98">
        <v>1340</v>
      </c>
      <c r="U98">
        <v>2060</v>
      </c>
      <c r="V98">
        <v>7</v>
      </c>
      <c r="Y98" t="str">
        <v>紅ほっぺ</v>
      </c>
      <c r="Z98">
        <v>180</v>
      </c>
      <c r="AA98">
        <v>100</v>
      </c>
      <c r="AB98">
        <v>2</v>
      </c>
      <c r="AE98" t="str">
        <v>紅ほっぺ</v>
      </c>
      <c r="AF98">
        <v>120</v>
      </c>
      <c r="AG98">
        <v>160</v>
      </c>
      <c r="AH98">
        <v>1</v>
      </c>
    </row>
    <row r="99" spans="7:34">
      <c r="G99" t="str">
        <v>紅ほっぺ</v>
      </c>
      <c r="H99">
        <v>2732</v>
      </c>
      <c r="I99">
        <v>321</v>
      </c>
      <c r="J99">
        <v>22</v>
      </c>
      <c r="M99" t="str">
        <v>紅ほっぺ</v>
      </c>
      <c r="N99">
        <v>0</v>
      </c>
      <c r="O99">
        <v>0</v>
      </c>
      <c r="P99">
        <v>0</v>
      </c>
      <c r="S99" t="str">
        <v>やよいひめ</v>
      </c>
      <c r="T99">
        <v>160</v>
      </c>
      <c r="U99">
        <v>0</v>
      </c>
      <c r="V99">
        <v>1</v>
      </c>
      <c r="Y99" t="str">
        <v>紅ほっぺ</v>
      </c>
      <c r="Z99">
        <v>320</v>
      </c>
      <c r="AA99">
        <v>540</v>
      </c>
      <c r="AB99">
        <v>15</v>
      </c>
      <c r="AE99" t="str">
        <v>無</v>
      </c>
      <c r="AF99">
        <v>0</v>
      </c>
      <c r="AG99">
        <v>150</v>
      </c>
      <c r="AH99">
        <v>0</v>
      </c>
    </row>
    <row r="100" spans="7:34">
      <c r="G100" t="str">
        <v>紅ほっぺ</v>
      </c>
      <c r="H100">
        <v>840</v>
      </c>
      <c r="I100">
        <v>147</v>
      </c>
      <c r="J100">
        <v>6</v>
      </c>
      <c r="M100" t="str">
        <v>紅ほっぺ（無）</v>
      </c>
      <c r="N100">
        <v>3480</v>
      </c>
      <c r="O100">
        <v>460</v>
      </c>
      <c r="P100">
        <v>32</v>
      </c>
      <c r="S100" t="str">
        <v>やよいひめ</v>
      </c>
      <c r="T100">
        <v>130</v>
      </c>
      <c r="U100">
        <v>1550</v>
      </c>
      <c r="V100">
        <v>1</v>
      </c>
      <c r="Y100" t="str">
        <v>紅ほっぺ</v>
      </c>
      <c r="Z100">
        <v>80</v>
      </c>
      <c r="AA100">
        <v>240</v>
      </c>
      <c r="AB100">
        <v>0</v>
      </c>
      <c r="AE100" t="str">
        <v>無</v>
      </c>
      <c r="AF100">
        <v>450</v>
      </c>
      <c r="AG100">
        <v>140</v>
      </c>
      <c r="AH100">
        <v>4</v>
      </c>
    </row>
    <row r="101" spans="7:34">
      <c r="G101" t="str">
        <v>紅ほっぺ（無）</v>
      </c>
      <c r="H101">
        <v>380</v>
      </c>
      <c r="I101">
        <v>180</v>
      </c>
      <c r="J101">
        <v>3</v>
      </c>
      <c r="M101" t="str">
        <v>紅ほっぺ</v>
      </c>
      <c r="N101">
        <v>320</v>
      </c>
      <c r="O101">
        <v>180</v>
      </c>
      <c r="P101">
        <v>3</v>
      </c>
      <c r="S101" t="str">
        <v>やよいひめ</v>
      </c>
      <c r="T101">
        <v>460</v>
      </c>
      <c r="U101">
        <v>1800</v>
      </c>
      <c r="V101">
        <v>2</v>
      </c>
      <c r="Y101" t="str">
        <v>無</v>
      </c>
      <c r="Z101">
        <v>200</v>
      </c>
      <c r="AA101">
        <v>0</v>
      </c>
      <c r="AB101">
        <v>2</v>
      </c>
      <c r="AE101" t="str">
        <v>紅ほっぺ</v>
      </c>
      <c r="AF101">
        <v>120</v>
      </c>
      <c r="AG101">
        <v>0</v>
      </c>
      <c r="AH101">
        <v>1</v>
      </c>
    </row>
    <row r="102" spans="7:34">
      <c r="G102" t="str">
        <v>紅ほっぺ（無）</v>
      </c>
      <c r="H102">
        <v>840</v>
      </c>
      <c r="I102">
        <v>80</v>
      </c>
      <c r="J102">
        <v>5</v>
      </c>
      <c r="M102" t="str">
        <v>紅ほっぺ</v>
      </c>
      <c r="N102">
        <v>220</v>
      </c>
      <c r="O102">
        <v>180</v>
      </c>
      <c r="P102">
        <v>2</v>
      </c>
      <c r="S102" t="str">
        <v>やよいひめ</v>
      </c>
      <c r="T102">
        <v>340</v>
      </c>
      <c r="U102">
        <v>750</v>
      </c>
      <c r="V102">
        <v>3</v>
      </c>
      <c r="Y102" t="str">
        <v>無</v>
      </c>
      <c r="Z102">
        <v>240</v>
      </c>
      <c r="AA102">
        <v>330</v>
      </c>
      <c r="AB102">
        <v>2</v>
      </c>
      <c r="AE102" t="str">
        <v>紅ほっぺ</v>
      </c>
      <c r="AF102">
        <v>470</v>
      </c>
      <c r="AG102">
        <v>210</v>
      </c>
      <c r="AH102">
        <v>4</v>
      </c>
    </row>
    <row r="103" spans="7:34">
      <c r="G103" t="str">
        <v>紅ほっぺ（無）</v>
      </c>
      <c r="H103">
        <v>1240</v>
      </c>
      <c r="I103">
        <v>420</v>
      </c>
      <c r="J103">
        <v>8</v>
      </c>
      <c r="M103" t="str">
        <v>紅ほっぺ</v>
      </c>
      <c r="N103">
        <v>520</v>
      </c>
      <c r="O103">
        <v>120</v>
      </c>
      <c r="P103">
        <v>5</v>
      </c>
      <c r="S103" t="str">
        <v>やよいひめ</v>
      </c>
      <c r="T103">
        <v>0</v>
      </c>
      <c r="U103">
        <v>220</v>
      </c>
      <c r="V103">
        <v>0</v>
      </c>
      <c r="Y103" t="str">
        <v>無</v>
      </c>
      <c r="Z103">
        <v>1150</v>
      </c>
      <c r="AA103">
        <v>520</v>
      </c>
      <c r="AB103">
        <v>10</v>
      </c>
      <c r="AE103" t="str">
        <v>無</v>
      </c>
      <c r="AF103">
        <v>470</v>
      </c>
      <c r="AG103">
        <v>880</v>
      </c>
      <c r="AH103">
        <v>3</v>
      </c>
    </row>
    <row r="104" spans="7:34">
      <c r="G104" t="str">
        <v>紅ほっぺ（無）</v>
      </c>
      <c r="H104">
        <v>1840</v>
      </c>
      <c r="I104">
        <v>0</v>
      </c>
      <c r="J104">
        <v>17</v>
      </c>
      <c r="M104" t="str">
        <v>紅ほっぺ（無）</v>
      </c>
      <c r="N104">
        <v>850</v>
      </c>
      <c r="O104">
        <v>230</v>
      </c>
      <c r="P104">
        <v>4</v>
      </c>
      <c r="S104" t="str">
        <v>やよいひめ</v>
      </c>
      <c r="T104">
        <v>0</v>
      </c>
      <c r="U104">
        <v>600</v>
      </c>
      <c r="V104">
        <v>0</v>
      </c>
      <c r="Y104" t="str">
        <v>無</v>
      </c>
      <c r="Z104">
        <v>790</v>
      </c>
      <c r="AA104">
        <v>1690</v>
      </c>
      <c r="AB104">
        <v>8</v>
      </c>
      <c r="AE104" t="str">
        <v>紅ほっぺ</v>
      </c>
      <c r="AF104">
        <v>420</v>
      </c>
      <c r="AG104">
        <v>80</v>
      </c>
      <c r="AH104">
        <v>4</v>
      </c>
    </row>
    <row r="105" spans="7:34">
      <c r="G105" t="str">
        <v>紅ほっぺ（無）</v>
      </c>
      <c r="H105">
        <v>2840</v>
      </c>
      <c r="I105">
        <v>1020</v>
      </c>
      <c r="J105">
        <v>26</v>
      </c>
      <c r="M105" t="str">
        <v>紅ほっぺ</v>
      </c>
      <c r="N105">
        <v>510</v>
      </c>
      <c r="O105">
        <v>90</v>
      </c>
      <c r="P105">
        <v>5</v>
      </c>
      <c r="S105" t="str">
        <v>やよいひめ</v>
      </c>
      <c r="T105">
        <v>860</v>
      </c>
      <c r="U105">
        <v>1740</v>
      </c>
      <c r="V105">
        <v>7</v>
      </c>
      <c r="Y105" t="str">
        <v>紅ほっぺ</v>
      </c>
      <c r="Z105">
        <v>0</v>
      </c>
      <c r="AA105">
        <v>30</v>
      </c>
      <c r="AB105">
        <v>0</v>
      </c>
      <c r="AE105" t="str">
        <v>紅ほっぺ</v>
      </c>
      <c r="AF105">
        <v>1230</v>
      </c>
      <c r="AG105">
        <v>230</v>
      </c>
      <c r="AH105">
        <v>12</v>
      </c>
    </row>
    <row r="106" spans="7:34">
      <c r="G106" t="str">
        <v>紅ほっぺ</v>
      </c>
      <c r="H106">
        <v>1620</v>
      </c>
      <c r="I106">
        <v>450</v>
      </c>
      <c r="J106">
        <v>0</v>
      </c>
      <c r="M106" t="str">
        <v>紅ほっぺ</v>
      </c>
      <c r="N106">
        <v>2440</v>
      </c>
      <c r="O106">
        <v>340</v>
      </c>
      <c r="P106">
        <v>16</v>
      </c>
      <c r="S106" t="str">
        <v>やよいひめ</v>
      </c>
      <c r="T106">
        <v>330</v>
      </c>
      <c r="U106">
        <v>290</v>
      </c>
      <c r="V106">
        <v>3</v>
      </c>
      <c r="Y106" t="str">
        <v>紅ほっぺ</v>
      </c>
      <c r="Z106">
        <v>780</v>
      </c>
      <c r="AA106">
        <v>360</v>
      </c>
      <c r="AB106">
        <v>5</v>
      </c>
      <c r="AE106" t="str">
        <v>紅ほっぺ</v>
      </c>
      <c r="AF106">
        <v>450</v>
      </c>
      <c r="AG106">
        <v>290</v>
      </c>
      <c r="AH106">
        <v>4</v>
      </c>
    </row>
    <row r="107" spans="7:34">
      <c r="G107" t="str">
        <v>紅ほっぺ</v>
      </c>
      <c r="H107">
        <v>880</v>
      </c>
      <c r="I107">
        <v>94</v>
      </c>
      <c r="J107">
        <v>7</v>
      </c>
      <c r="M107" t="str">
        <v>紅ほっぺ</v>
      </c>
      <c r="N107">
        <v>550</v>
      </c>
      <c r="O107">
        <v>230</v>
      </c>
      <c r="P107">
        <v>5</v>
      </c>
      <c r="S107" t="str">
        <v>やよいひめ</v>
      </c>
      <c r="T107">
        <v>120</v>
      </c>
      <c r="U107">
        <v>440</v>
      </c>
      <c r="V107">
        <v>1</v>
      </c>
      <c r="Y107" t="str">
        <v>無</v>
      </c>
      <c r="Z107">
        <v>590</v>
      </c>
      <c r="AA107">
        <v>260</v>
      </c>
      <c r="AB107">
        <v>5</v>
      </c>
      <c r="AE107" t="str">
        <v>紅ほっぺ</v>
      </c>
      <c r="AF107">
        <v>450</v>
      </c>
      <c r="AG107">
        <v>350</v>
      </c>
      <c r="AH107">
        <v>4</v>
      </c>
    </row>
    <row r="108" spans="7:34">
      <c r="G108" t="str">
        <v>紅ほっぺ</v>
      </c>
      <c r="H108">
        <v>1080</v>
      </c>
      <c r="I108">
        <v>430</v>
      </c>
      <c r="J108">
        <v>5</v>
      </c>
      <c r="M108" t="str">
        <v>紅ほっぺ</v>
      </c>
      <c r="N108">
        <v>0</v>
      </c>
      <c r="O108">
        <v>0</v>
      </c>
      <c r="P108">
        <v>0</v>
      </c>
      <c r="Y108" t="str">
        <v>紅ほっぺ</v>
      </c>
      <c r="Z108">
        <v>240</v>
      </c>
      <c r="AA108">
        <v>280</v>
      </c>
      <c r="AB108">
        <v>2</v>
      </c>
      <c r="AE108" t="str">
        <v>無</v>
      </c>
      <c r="AF108">
        <v>3060</v>
      </c>
      <c r="AG108">
        <v>1580</v>
      </c>
      <c r="AH108">
        <v>22</v>
      </c>
    </row>
    <row r="109" spans="7:34">
      <c r="G109" t="str">
        <v>紅ほっぺ</v>
      </c>
      <c r="H109">
        <v>1480</v>
      </c>
      <c r="I109">
        <v>0</v>
      </c>
      <c r="J109">
        <v>12</v>
      </c>
      <c r="M109" t="str">
        <v>紅ほっぺ（無）</v>
      </c>
      <c r="N109">
        <v>495</v>
      </c>
      <c r="O109">
        <v>125</v>
      </c>
      <c r="P109">
        <v>3</v>
      </c>
      <c r="S109" t="str" cm="1">
        <f t="array" ref="S109:V116">_xlfn._xlws.FILTER(T2:W61,ISNUMBER(SEARCH("よつぼし",T2:T61)))</f>
        <v>よつぼし</v>
      </c>
      <c r="T109">
        <v>1160</v>
      </c>
      <c r="U109">
        <v>2420</v>
      </c>
      <c r="V109">
        <v>11</v>
      </c>
      <c r="Y109" t="str">
        <v>紅ほっぺ</v>
      </c>
      <c r="Z109">
        <v>1210</v>
      </c>
      <c r="AA109">
        <v>340</v>
      </c>
      <c r="AB109">
        <v>12</v>
      </c>
      <c r="AE109" t="str">
        <v>紅ほっぺ</v>
      </c>
      <c r="AF109">
        <v>0</v>
      </c>
      <c r="AG109">
        <v>120</v>
      </c>
      <c r="AH109">
        <v>0</v>
      </c>
    </row>
    <row r="110" spans="7:34">
      <c r="G110" t="str">
        <v>紅ほっぺ（無）</v>
      </c>
      <c r="H110">
        <v>810</v>
      </c>
      <c r="I110">
        <v>660</v>
      </c>
      <c r="J110">
        <v>6</v>
      </c>
      <c r="M110" t="str">
        <v>紅ほっぺ（無）</v>
      </c>
      <c r="N110">
        <v>240</v>
      </c>
      <c r="O110">
        <v>720</v>
      </c>
      <c r="P110">
        <v>2</v>
      </c>
      <c r="S110" t="str">
        <v>よつぼし</v>
      </c>
      <c r="T110">
        <v>360</v>
      </c>
      <c r="U110">
        <v>3190</v>
      </c>
      <c r="V110">
        <v>0</v>
      </c>
      <c r="Y110" t="str">
        <v>紅ほっぺ</v>
      </c>
      <c r="Z110">
        <v>0</v>
      </c>
      <c r="AA110">
        <v>320</v>
      </c>
      <c r="AB110">
        <v>0</v>
      </c>
      <c r="AE110" t="str">
        <v>紅ほっぺ</v>
      </c>
      <c r="AF110">
        <v>750</v>
      </c>
      <c r="AG110">
        <v>450</v>
      </c>
      <c r="AH110">
        <v>7</v>
      </c>
    </row>
    <row r="111" spans="7:34">
      <c r="G111" t="str">
        <v>紅ほっぺ</v>
      </c>
      <c r="H111">
        <v>600</v>
      </c>
      <c r="I111">
        <v>90</v>
      </c>
      <c r="J111">
        <v>5</v>
      </c>
      <c r="M111" t="str">
        <v>紅ほっぺ（無）</v>
      </c>
      <c r="N111">
        <v>1240</v>
      </c>
      <c r="O111">
        <v>1532</v>
      </c>
      <c r="P111">
        <v>9</v>
      </c>
      <c r="S111" t="str">
        <v>よつぼし</v>
      </c>
      <c r="T111">
        <v>551</v>
      </c>
      <c r="U111">
        <v>479</v>
      </c>
      <c r="V111">
        <v>5</v>
      </c>
      <c r="Y111" t="str">
        <v>無</v>
      </c>
      <c r="Z111">
        <v>100</v>
      </c>
      <c r="AA111">
        <v>60</v>
      </c>
      <c r="AB111">
        <v>1</v>
      </c>
      <c r="AE111" t="str">
        <v>無</v>
      </c>
      <c r="AF111">
        <v>900</v>
      </c>
      <c r="AG111">
        <v>870</v>
      </c>
      <c r="AH111">
        <v>7</v>
      </c>
    </row>
    <row r="112" spans="7:34">
      <c r="G112" t="str">
        <v>紅ほっぺ</v>
      </c>
      <c r="H112">
        <v>2500</v>
      </c>
      <c r="I112">
        <v>760</v>
      </c>
      <c r="J112">
        <v>16</v>
      </c>
      <c r="M112" t="str">
        <v>紅ほっぺ（無）</v>
      </c>
      <c r="N112">
        <v>1835</v>
      </c>
      <c r="O112">
        <v>745</v>
      </c>
      <c r="P112">
        <v>18</v>
      </c>
      <c r="S112" t="str">
        <v>よつぼし</v>
      </c>
      <c r="T112">
        <v>0</v>
      </c>
      <c r="U112">
        <v>720</v>
      </c>
      <c r="V112">
        <v>0</v>
      </c>
      <c r="Y112" t="str">
        <v>無</v>
      </c>
      <c r="Z112">
        <v>1730</v>
      </c>
      <c r="AA112">
        <v>700</v>
      </c>
      <c r="AB112">
        <v>16</v>
      </c>
      <c r="AE112" t="str">
        <v>紅ほっぺ</v>
      </c>
      <c r="AF112">
        <v>350</v>
      </c>
      <c r="AG112">
        <v>270</v>
      </c>
      <c r="AH112">
        <v>2</v>
      </c>
    </row>
    <row r="113" spans="7:34">
      <c r="G113" t="str">
        <v>紅ほっぺ</v>
      </c>
      <c r="H113">
        <v>820</v>
      </c>
      <c r="I113">
        <v>747</v>
      </c>
      <c r="J113">
        <v>8</v>
      </c>
      <c r="M113" t="str">
        <v>紅ほっぺ</v>
      </c>
      <c r="N113">
        <v>0</v>
      </c>
      <c r="O113">
        <v>119</v>
      </c>
      <c r="P113">
        <v>22</v>
      </c>
      <c r="S113" t="str">
        <v>よつぼし</v>
      </c>
      <c r="T113">
        <v>440</v>
      </c>
      <c r="U113">
        <v>1360</v>
      </c>
      <c r="V113">
        <v>4</v>
      </c>
      <c r="Y113" t="str">
        <v>無</v>
      </c>
      <c r="Z113">
        <v>0</v>
      </c>
      <c r="AA113">
        <v>1660</v>
      </c>
      <c r="AB113">
        <v>0</v>
      </c>
      <c r="AE113" t="str">
        <v>紅ほっぺ</v>
      </c>
      <c r="AF113">
        <v>2100</v>
      </c>
      <c r="AG113">
        <v>480</v>
      </c>
      <c r="AH113">
        <v>19</v>
      </c>
    </row>
    <row r="114" spans="7:34">
      <c r="G114" t="str">
        <v>紅ほっぺ</v>
      </c>
      <c r="H114">
        <v>0</v>
      </c>
      <c r="I114">
        <v>0</v>
      </c>
      <c r="J114">
        <v>0</v>
      </c>
      <c r="M114" t="str">
        <v>紅ほっぺ（無）</v>
      </c>
      <c r="N114">
        <v>2321</v>
      </c>
      <c r="O114">
        <v>121</v>
      </c>
      <c r="P114">
        <v>1</v>
      </c>
      <c r="S114" t="str">
        <v>よつぼし</v>
      </c>
      <c r="T114">
        <v>0</v>
      </c>
      <c r="U114">
        <v>300</v>
      </c>
      <c r="V114">
        <v>0</v>
      </c>
      <c r="Y114" t="str">
        <v>紅ほっぺ</v>
      </c>
      <c r="Z114">
        <v>400</v>
      </c>
      <c r="AA114">
        <v>500</v>
      </c>
      <c r="AB114">
        <v>4</v>
      </c>
      <c r="AE114" t="str">
        <v>紅ほっぺ</v>
      </c>
      <c r="AF114">
        <v>170</v>
      </c>
      <c r="AG114">
        <v>330</v>
      </c>
      <c r="AH114">
        <v>2</v>
      </c>
    </row>
    <row r="115" spans="7:34">
      <c r="G115" t="str">
        <v>紅ほっぺ（無）</v>
      </c>
      <c r="H115">
        <v>480</v>
      </c>
      <c r="I115">
        <v>100</v>
      </c>
      <c r="J115">
        <v>3</v>
      </c>
      <c r="M115" t="str">
        <v>紅ほっぺ</v>
      </c>
      <c r="N115">
        <v>140</v>
      </c>
      <c r="O115">
        <v>300</v>
      </c>
      <c r="P115">
        <v>1</v>
      </c>
      <c r="S115" t="str">
        <v>よつぼし</v>
      </c>
      <c r="T115">
        <v>100</v>
      </c>
      <c r="U115">
        <v>610</v>
      </c>
      <c r="V115">
        <v>1</v>
      </c>
      <c r="Y115" t="str">
        <v>紅ほっぺ</v>
      </c>
      <c r="Z115">
        <v>420</v>
      </c>
      <c r="AA115">
        <v>200</v>
      </c>
      <c r="AB115">
        <v>4</v>
      </c>
      <c r="AE115" t="str">
        <v>無</v>
      </c>
      <c r="AF115">
        <v>360</v>
      </c>
      <c r="AG115">
        <v>200</v>
      </c>
      <c r="AH115">
        <v>2</v>
      </c>
    </row>
    <row r="116" spans="7:34">
      <c r="G116" t="str">
        <v>紅ほっぺ（無）</v>
      </c>
      <c r="H116">
        <v>460</v>
      </c>
      <c r="I116">
        <v>440</v>
      </c>
      <c r="J116">
        <v>4</v>
      </c>
      <c r="M116" t="str">
        <v>紅ほっぺ</v>
      </c>
      <c r="N116">
        <v>170</v>
      </c>
      <c r="O116">
        <v>135</v>
      </c>
      <c r="P116">
        <v>1</v>
      </c>
      <c r="S116" t="str">
        <v>よつぼし</v>
      </c>
      <c r="T116">
        <v>0</v>
      </c>
      <c r="U116">
        <v>440</v>
      </c>
      <c r="V116">
        <v>0</v>
      </c>
      <c r="Y116" t="str">
        <v>無</v>
      </c>
      <c r="Z116">
        <v>500</v>
      </c>
      <c r="AA116">
        <v>170</v>
      </c>
      <c r="AB116">
        <v>5</v>
      </c>
      <c r="AE116" t="str">
        <v>無</v>
      </c>
      <c r="AF116">
        <v>3000</v>
      </c>
      <c r="AG116">
        <v>2000</v>
      </c>
      <c r="AH116">
        <v>28</v>
      </c>
    </row>
    <row r="117" spans="7:34">
      <c r="G117" t="str">
        <v>紅ほっぺ（無）</v>
      </c>
      <c r="H117">
        <v>1800</v>
      </c>
      <c r="I117">
        <v>0</v>
      </c>
      <c r="J117">
        <v>8</v>
      </c>
      <c r="M117" t="str">
        <v>紅ほっぺ</v>
      </c>
      <c r="N117">
        <v>600</v>
      </c>
      <c r="O117">
        <v>439</v>
      </c>
      <c r="P117">
        <v>4</v>
      </c>
      <c r="Y117" t="str">
        <v>紅ほっぺ</v>
      </c>
      <c r="Z117">
        <v>140</v>
      </c>
      <c r="AA117">
        <v>140</v>
      </c>
      <c r="AB117">
        <v>1</v>
      </c>
      <c r="AE117" t="str">
        <v>無</v>
      </c>
      <c r="AF117">
        <v>4000</v>
      </c>
      <c r="AG117">
        <v>1560</v>
      </c>
      <c r="AH117">
        <v>38</v>
      </c>
    </row>
    <row r="118" spans="7:34">
      <c r="G118" t="str">
        <v>紅ほっぺ（無）</v>
      </c>
      <c r="H118">
        <v>2740</v>
      </c>
      <c r="I118">
        <v>470</v>
      </c>
      <c r="J118">
        <v>22</v>
      </c>
      <c r="M118" t="str">
        <v>紅ほっぺ（無）</v>
      </c>
      <c r="N118">
        <v>210</v>
      </c>
      <c r="O118">
        <v>390</v>
      </c>
      <c r="P118">
        <v>1</v>
      </c>
      <c r="S118" t="str" cm="1">
        <f t="array" ref="S118:V122">_xlfn._xlws.FILTER(T2:W61,ISNUMBER(SEARCH("かおり",T2:T61)))</f>
        <v>かおり野</v>
      </c>
      <c r="T118">
        <v>0</v>
      </c>
      <c r="U118">
        <v>0</v>
      </c>
      <c r="V118">
        <v>0</v>
      </c>
      <c r="Y118" t="str">
        <v>紅ほっぺ</v>
      </c>
      <c r="Z118">
        <v>610</v>
      </c>
      <c r="AA118">
        <v>90</v>
      </c>
      <c r="AB118">
        <v>6</v>
      </c>
      <c r="AE118" t="str">
        <v>無</v>
      </c>
      <c r="AF118">
        <v>0</v>
      </c>
      <c r="AG118">
        <v>1240</v>
      </c>
      <c r="AH118">
        <v>0</v>
      </c>
    </row>
    <row r="119" spans="7:34">
      <c r="G119" t="str">
        <v>紅ほっぺ</v>
      </c>
      <c r="H119">
        <v>740</v>
      </c>
      <c r="I119">
        <v>300</v>
      </c>
      <c r="J119">
        <v>4</v>
      </c>
      <c r="M119" t="str">
        <v>紅ほっぺ</v>
      </c>
      <c r="N119">
        <v>110</v>
      </c>
      <c r="O119">
        <v>250</v>
      </c>
      <c r="P119">
        <v>1</v>
      </c>
      <c r="S119" t="str">
        <v>かおり野</v>
      </c>
      <c r="T119">
        <v>340</v>
      </c>
      <c r="U119">
        <v>2200</v>
      </c>
      <c r="V119">
        <v>2</v>
      </c>
      <c r="Y119" t="str">
        <v>紅ほっぺ</v>
      </c>
      <c r="Z119">
        <v>90</v>
      </c>
      <c r="AA119">
        <v>170</v>
      </c>
      <c r="AB119">
        <v>0</v>
      </c>
      <c r="AE119" t="str">
        <v>紅ほっぺ</v>
      </c>
      <c r="AF119">
        <v>230</v>
      </c>
      <c r="AG119">
        <v>470</v>
      </c>
      <c r="AH119">
        <v>2</v>
      </c>
    </row>
    <row r="120" spans="7:34">
      <c r="G120" t="str">
        <v>紅ほっぺ（無）</v>
      </c>
      <c r="H120">
        <v>2160</v>
      </c>
      <c r="I120">
        <v>500</v>
      </c>
      <c r="J120">
        <v>15</v>
      </c>
      <c r="M120" t="str">
        <v>紅ほっぺ</v>
      </c>
      <c r="N120">
        <v>1340</v>
      </c>
      <c r="O120">
        <v>740</v>
      </c>
      <c r="P120">
        <v>10</v>
      </c>
      <c r="S120" t="str">
        <v>かおりの</v>
      </c>
      <c r="T120">
        <v>340</v>
      </c>
      <c r="U120">
        <v>0</v>
      </c>
      <c r="V120">
        <v>2</v>
      </c>
      <c r="Y120" t="str">
        <v>無</v>
      </c>
      <c r="Z120">
        <v>1600</v>
      </c>
      <c r="AA120">
        <v>860</v>
      </c>
      <c r="AB120">
        <v>15</v>
      </c>
      <c r="AE120" t="str">
        <v>紅ほっぺ</v>
      </c>
      <c r="AF120">
        <v>370</v>
      </c>
      <c r="AG120">
        <v>570</v>
      </c>
      <c r="AH120">
        <v>3</v>
      </c>
    </row>
    <row r="121" spans="7:34">
      <c r="M121" t="str">
        <v>紅ほっぺ</v>
      </c>
      <c r="N121">
        <v>340</v>
      </c>
      <c r="O121">
        <v>320</v>
      </c>
      <c r="P121">
        <v>3</v>
      </c>
      <c r="S121" t="str">
        <v>かおり野</v>
      </c>
      <c r="T121">
        <v>0</v>
      </c>
      <c r="U121">
        <v>360</v>
      </c>
      <c r="V121">
        <v>0</v>
      </c>
      <c r="Y121" t="str">
        <v>無</v>
      </c>
      <c r="Z121">
        <v>880</v>
      </c>
      <c r="AA121">
        <v>670</v>
      </c>
      <c r="AB121">
        <v>8</v>
      </c>
      <c r="AE121" t="str">
        <v>無</v>
      </c>
      <c r="AF121">
        <v>920</v>
      </c>
      <c r="AG121">
        <v>840</v>
      </c>
      <c r="AH121">
        <v>1</v>
      </c>
    </row>
    <row r="122" spans="7:34">
      <c r="G122" s="9" t="str" cm="1">
        <f t="array" ref="G122:J128">_xlfn._xlws.FILTER(H2:K72,ISNUMBER(SEARCH("やよい",H2:H72)))</f>
        <v>やよい姫</v>
      </c>
      <c r="H122">
        <v>800</v>
      </c>
      <c r="I122">
        <v>0</v>
      </c>
      <c r="J122">
        <v>7</v>
      </c>
      <c r="M122" t="str">
        <v>紅ほっぺ</v>
      </c>
      <c r="N122">
        <v>260</v>
      </c>
      <c r="O122">
        <v>530</v>
      </c>
      <c r="P122">
        <v>1</v>
      </c>
      <c r="S122" t="str">
        <v>かおり野</v>
      </c>
      <c r="T122">
        <v>270</v>
      </c>
      <c r="U122">
        <v>270</v>
      </c>
      <c r="V122">
        <v>2</v>
      </c>
      <c r="Y122" t="str">
        <v>無</v>
      </c>
      <c r="Z122">
        <v>100</v>
      </c>
      <c r="AA122">
        <v>400</v>
      </c>
      <c r="AB122">
        <v>1</v>
      </c>
      <c r="AE122" t="str">
        <v>紅ほっぺ</v>
      </c>
      <c r="AF122">
        <v>260</v>
      </c>
      <c r="AG122">
        <v>600</v>
      </c>
      <c r="AH122">
        <v>2</v>
      </c>
    </row>
    <row r="123" spans="7:34">
      <c r="G123" t="str">
        <v>やよい姫</v>
      </c>
      <c r="H123">
        <v>300</v>
      </c>
      <c r="I123">
        <v>0</v>
      </c>
      <c r="J123">
        <v>1</v>
      </c>
      <c r="M123" t="str">
        <v>紅ほっぺ（無）</v>
      </c>
      <c r="N123">
        <v>140</v>
      </c>
      <c r="O123">
        <v>200</v>
      </c>
      <c r="P123">
        <v>1</v>
      </c>
      <c r="AE123" t="str">
        <v>紅ほっぺ</v>
      </c>
      <c r="AF123">
        <v>1500</v>
      </c>
      <c r="AG123">
        <v>1120</v>
      </c>
      <c r="AH123">
        <v>14</v>
      </c>
    </row>
    <row r="124" spans="7:34">
      <c r="G124" t="str">
        <v>やよい姫</v>
      </c>
      <c r="H124">
        <v>440</v>
      </c>
      <c r="I124">
        <v>1240</v>
      </c>
      <c r="J124">
        <v>3</v>
      </c>
      <c r="M124" t="str">
        <v>紅ほっぺ（無）</v>
      </c>
      <c r="N124">
        <v>280</v>
      </c>
      <c r="O124">
        <v>160</v>
      </c>
      <c r="P124">
        <v>1</v>
      </c>
      <c r="Y124" s="9" t="str" cm="1">
        <f t="array" ref="Y124:AB143">_xlfn._xlws.FILTER(Z2:AC80,ISNUMBER(SEARCH("やよい",Z2:Z80)))</f>
        <v>やよいひめ</v>
      </c>
      <c r="Z124">
        <v>240</v>
      </c>
      <c r="AA124">
        <v>1360</v>
      </c>
      <c r="AB124">
        <v>2</v>
      </c>
      <c r="AE124" t="str">
        <v>紅ほっぺ</v>
      </c>
      <c r="AF124">
        <v>260</v>
      </c>
      <c r="AG124">
        <v>660</v>
      </c>
      <c r="AH124">
        <v>2</v>
      </c>
    </row>
    <row r="125" spans="7:34">
      <c r="G125" t="str">
        <v>やよい姫</v>
      </c>
      <c r="H125">
        <v>220</v>
      </c>
      <c r="I125">
        <v>300</v>
      </c>
      <c r="J125">
        <v>2</v>
      </c>
      <c r="M125" t="str">
        <v>紅ほっぺ（無）</v>
      </c>
      <c r="N125">
        <v>1020</v>
      </c>
      <c r="O125">
        <v>1280</v>
      </c>
      <c r="P125">
        <v>7</v>
      </c>
      <c r="Y125" t="str">
        <v>やよいひめ</v>
      </c>
      <c r="Z125">
        <v>590</v>
      </c>
      <c r="AA125">
        <v>570</v>
      </c>
      <c r="AB125">
        <v>4</v>
      </c>
      <c r="AE125" t="str">
        <v>紅ほっぺ</v>
      </c>
      <c r="AF125">
        <v>0</v>
      </c>
      <c r="AG125">
        <v>520</v>
      </c>
      <c r="AH125">
        <v>0</v>
      </c>
    </row>
    <row r="126" spans="7:34">
      <c r="G126" t="str">
        <v>やよいひめ</v>
      </c>
      <c r="H126">
        <v>1820</v>
      </c>
      <c r="I126">
        <v>158</v>
      </c>
      <c r="J126">
        <v>15</v>
      </c>
      <c r="M126" t="str">
        <v>紅ほっぺ（無）</v>
      </c>
      <c r="N126">
        <v>2280</v>
      </c>
      <c r="O126">
        <v>1135</v>
      </c>
      <c r="P126">
        <v>17</v>
      </c>
      <c r="Y126" t="str">
        <v>やよいひめ</v>
      </c>
      <c r="Z126">
        <v>320</v>
      </c>
      <c r="AA126">
        <v>280</v>
      </c>
      <c r="AB126">
        <v>2</v>
      </c>
      <c r="AE126" t="str">
        <v>無</v>
      </c>
      <c r="AF126">
        <v>2120</v>
      </c>
      <c r="AG126">
        <v>6920</v>
      </c>
      <c r="AH126">
        <v>19</v>
      </c>
    </row>
    <row r="127" spans="7:34">
      <c r="G127" t="str">
        <v>やよいひめ</v>
      </c>
      <c r="H127">
        <v>260</v>
      </c>
      <c r="I127">
        <v>110</v>
      </c>
      <c r="J127">
        <v>1</v>
      </c>
      <c r="M127" t="str">
        <v>紅ほっぺ</v>
      </c>
      <c r="N127">
        <v>0</v>
      </c>
      <c r="O127">
        <v>0</v>
      </c>
      <c r="P127">
        <v>0</v>
      </c>
      <c r="Y127" t="str">
        <v>やよいひめ</v>
      </c>
      <c r="Z127">
        <v>0</v>
      </c>
      <c r="AA127">
        <v>80</v>
      </c>
      <c r="AB127">
        <v>0</v>
      </c>
      <c r="AE127" t="str">
        <v>無</v>
      </c>
      <c r="AF127">
        <v>0</v>
      </c>
      <c r="AG127">
        <v>1520</v>
      </c>
      <c r="AH127">
        <v>0</v>
      </c>
    </row>
    <row r="128" spans="7:34">
      <c r="G128" t="str">
        <v>やよいひめ</v>
      </c>
      <c r="H128">
        <v>180</v>
      </c>
      <c r="I128">
        <v>60</v>
      </c>
      <c r="J128">
        <v>1</v>
      </c>
      <c r="M128" t="str">
        <v>紅ほっぺ（無）</v>
      </c>
      <c r="N128">
        <v>1920</v>
      </c>
      <c r="O128">
        <v>1230</v>
      </c>
      <c r="P128">
        <v>13</v>
      </c>
      <c r="Y128" t="str">
        <v>やよいひめ</v>
      </c>
      <c r="Z128">
        <v>190</v>
      </c>
      <c r="AA128">
        <v>150</v>
      </c>
      <c r="AB128">
        <v>1</v>
      </c>
      <c r="AE128" t="str">
        <v>紅ほっぺ</v>
      </c>
      <c r="AF128">
        <v>1060</v>
      </c>
      <c r="AG128">
        <v>740</v>
      </c>
      <c r="AH128">
        <v>10</v>
      </c>
    </row>
    <row r="129" spans="7:34">
      <c r="M129" t="str">
        <v>紅ほっぺ</v>
      </c>
      <c r="N129">
        <v>240</v>
      </c>
      <c r="O129">
        <v>0</v>
      </c>
      <c r="P129">
        <v>0</v>
      </c>
      <c r="Y129" t="str">
        <v>やよいひめ</v>
      </c>
      <c r="Z129">
        <v>1010</v>
      </c>
      <c r="AA129">
        <v>2020</v>
      </c>
      <c r="AB129">
        <v>9</v>
      </c>
      <c r="AE129" t="str">
        <v>無</v>
      </c>
      <c r="AF129">
        <v>840</v>
      </c>
      <c r="AG129">
        <v>300</v>
      </c>
      <c r="AH129">
        <v>6</v>
      </c>
    </row>
    <row r="130" spans="7:34">
      <c r="G130" t="str" cm="1">
        <f t="array" ref="G130:J137">_xlfn._xlws.FILTER(H2:K72,ISNUMBER(SEARCH("よつぼし",H2:H72)))</f>
        <v>よつぼし</v>
      </c>
      <c r="H130">
        <v>160</v>
      </c>
      <c r="I130">
        <v>800</v>
      </c>
      <c r="J130">
        <v>0</v>
      </c>
      <c r="M130" t="str">
        <v>紅ほっぺ</v>
      </c>
      <c r="N130">
        <v>0</v>
      </c>
      <c r="O130">
        <v>0</v>
      </c>
      <c r="P130">
        <v>0</v>
      </c>
      <c r="Y130" t="str">
        <v>やよいひめ</v>
      </c>
      <c r="Z130">
        <v>500</v>
      </c>
      <c r="AA130">
        <v>220</v>
      </c>
      <c r="AB130">
        <v>5</v>
      </c>
      <c r="AE130" t="str">
        <v>紅ほっぺ</v>
      </c>
      <c r="AF130">
        <v>100</v>
      </c>
      <c r="AG130">
        <v>340</v>
      </c>
      <c r="AH130">
        <v>1</v>
      </c>
    </row>
    <row r="131" spans="7:34">
      <c r="G131" t="str">
        <v>よつぼし</v>
      </c>
      <c r="H131">
        <v>880</v>
      </c>
      <c r="I131">
        <v>0</v>
      </c>
      <c r="J131">
        <v>6</v>
      </c>
      <c r="M131" t="str">
        <v>紅ほっぺ</v>
      </c>
      <c r="N131">
        <v>740</v>
      </c>
      <c r="O131">
        <v>500</v>
      </c>
      <c r="P131">
        <v>7</v>
      </c>
      <c r="Y131" t="str">
        <v>やよいひめ</v>
      </c>
      <c r="Z131">
        <v>120</v>
      </c>
      <c r="AA131">
        <v>220</v>
      </c>
      <c r="AB131">
        <v>1</v>
      </c>
      <c r="AE131" t="str">
        <v>紅ほっぺ</v>
      </c>
      <c r="AF131">
        <v>240</v>
      </c>
      <c r="AG131">
        <v>760</v>
      </c>
      <c r="AH131">
        <v>2</v>
      </c>
    </row>
    <row r="132" spans="7:34">
      <c r="G132" t="str">
        <v>よつぼし</v>
      </c>
      <c r="H132">
        <v>1240</v>
      </c>
      <c r="I132">
        <v>0</v>
      </c>
      <c r="J132">
        <v>10</v>
      </c>
      <c r="M132" t="str">
        <v>紅ほっぺ（無）</v>
      </c>
      <c r="N132">
        <v>45</v>
      </c>
      <c r="O132">
        <v>426</v>
      </c>
      <c r="P132">
        <v>1</v>
      </c>
      <c r="Y132" t="str">
        <v>やよいひめ</v>
      </c>
      <c r="Z132">
        <v>2270</v>
      </c>
      <c r="AA132">
        <v>1650</v>
      </c>
      <c r="AB132">
        <v>21</v>
      </c>
      <c r="AE132" t="str">
        <v>無</v>
      </c>
      <c r="AF132">
        <v>200</v>
      </c>
      <c r="AG132">
        <v>420</v>
      </c>
      <c r="AH132">
        <v>2</v>
      </c>
    </row>
    <row r="133" spans="7:34">
      <c r="G133" t="str">
        <v>よつぼし</v>
      </c>
      <c r="H133">
        <v>500</v>
      </c>
      <c r="I133">
        <v>0</v>
      </c>
      <c r="J133">
        <v>2</v>
      </c>
      <c r="M133" t="str">
        <v>紅ほっぺ</v>
      </c>
      <c r="N133">
        <v>100</v>
      </c>
      <c r="O133">
        <v>320</v>
      </c>
      <c r="P133">
        <v>1</v>
      </c>
      <c r="Y133" t="str">
        <v>やよいひめ</v>
      </c>
      <c r="Z133">
        <v>2890</v>
      </c>
      <c r="AA133">
        <v>290</v>
      </c>
      <c r="AB133">
        <v>22</v>
      </c>
      <c r="AE133" t="str">
        <v>紅ほっぺ</v>
      </c>
      <c r="AF133">
        <v>120</v>
      </c>
      <c r="AG133">
        <v>500</v>
      </c>
      <c r="AH133">
        <v>1</v>
      </c>
    </row>
    <row r="134" spans="7:34">
      <c r="G134" t="str">
        <v>よつぼし</v>
      </c>
      <c r="H134">
        <v>1880</v>
      </c>
      <c r="I134">
        <v>2480</v>
      </c>
      <c r="J134">
        <v>10</v>
      </c>
      <c r="M134" t="str">
        <v>紅ほっぺ</v>
      </c>
      <c r="N134">
        <v>430</v>
      </c>
      <c r="O134">
        <v>830</v>
      </c>
      <c r="P134">
        <v>0</v>
      </c>
      <c r="Y134" t="str">
        <v>やよいひめ</v>
      </c>
      <c r="Z134">
        <v>510</v>
      </c>
      <c r="AA134">
        <v>390</v>
      </c>
      <c r="AB134">
        <v>3</v>
      </c>
      <c r="AE134" t="str">
        <v>紅ほっぺ</v>
      </c>
      <c r="AF134">
        <v>830</v>
      </c>
      <c r="AG134">
        <v>470</v>
      </c>
      <c r="AH134">
        <v>4</v>
      </c>
    </row>
    <row r="135" spans="7:34">
      <c r="G135" t="str">
        <v>よつぼし</v>
      </c>
      <c r="H135">
        <v>210</v>
      </c>
      <c r="I135">
        <v>330</v>
      </c>
      <c r="J135">
        <v>2</v>
      </c>
      <c r="M135" t="str">
        <v>紅ほっぺ</v>
      </c>
      <c r="N135">
        <v>300</v>
      </c>
      <c r="O135">
        <v>180</v>
      </c>
      <c r="P135">
        <v>2</v>
      </c>
      <c r="Y135" t="str">
        <v>やよいひめ</v>
      </c>
      <c r="Z135">
        <v>410</v>
      </c>
      <c r="AA135">
        <v>630</v>
      </c>
      <c r="AB135">
        <v>4</v>
      </c>
      <c r="AE135" t="str">
        <v>無</v>
      </c>
      <c r="AF135">
        <v>2730</v>
      </c>
      <c r="AG135">
        <v>4220</v>
      </c>
      <c r="AH135">
        <v>14</v>
      </c>
    </row>
    <row r="136" spans="7:34">
      <c r="G136" t="str">
        <v>よつぼし</v>
      </c>
      <c r="H136">
        <v>2036</v>
      </c>
      <c r="I136">
        <v>435</v>
      </c>
      <c r="J136">
        <v>15</v>
      </c>
      <c r="M136" t="str">
        <v>紅ほっぺ</v>
      </c>
      <c r="N136">
        <v>0</v>
      </c>
      <c r="O136">
        <v>0</v>
      </c>
      <c r="P136">
        <v>0</v>
      </c>
      <c r="Y136" t="str">
        <v>やよいひめ</v>
      </c>
      <c r="Z136">
        <v>5510</v>
      </c>
      <c r="AA136">
        <v>1250</v>
      </c>
      <c r="AB136">
        <v>52</v>
      </c>
      <c r="AE136" t="str">
        <v>無</v>
      </c>
      <c r="AF136">
        <v>410</v>
      </c>
      <c r="AG136">
        <v>880</v>
      </c>
      <c r="AH136">
        <v>2</v>
      </c>
    </row>
    <row r="137" spans="7:34">
      <c r="G137" t="str">
        <v>よつぼし</v>
      </c>
      <c r="H137">
        <v>220</v>
      </c>
      <c r="I137">
        <v>120</v>
      </c>
      <c r="J137">
        <v>1</v>
      </c>
      <c r="M137" t="str">
        <v>紅ほっぺ（無）</v>
      </c>
      <c r="N137">
        <v>167</v>
      </c>
      <c r="O137">
        <v>366</v>
      </c>
      <c r="P137">
        <v>1</v>
      </c>
      <c r="Y137" t="str">
        <v>やよいひめ</v>
      </c>
      <c r="Z137">
        <v>2510</v>
      </c>
      <c r="AA137">
        <v>10</v>
      </c>
      <c r="AB137">
        <v>18</v>
      </c>
      <c r="AE137" t="str">
        <v>無</v>
      </c>
      <c r="AF137">
        <v>0</v>
      </c>
      <c r="AG137">
        <v>1940</v>
      </c>
      <c r="AH137">
        <v>0</v>
      </c>
    </row>
    <row r="138" spans="7:34">
      <c r="M138" t="str">
        <v>紅ほっぺ（無）</v>
      </c>
      <c r="N138">
        <v>0</v>
      </c>
      <c r="O138">
        <v>0</v>
      </c>
      <c r="P138">
        <v>0</v>
      </c>
      <c r="Y138" t="str">
        <v>やよいひめ</v>
      </c>
      <c r="Z138">
        <v>780</v>
      </c>
      <c r="AA138">
        <v>1250</v>
      </c>
      <c r="AB138">
        <v>4</v>
      </c>
      <c r="AE138" t="str">
        <v>紅ほっぺ</v>
      </c>
      <c r="AF138">
        <v>210</v>
      </c>
      <c r="AG138">
        <v>310</v>
      </c>
      <c r="AH138">
        <v>2</v>
      </c>
    </row>
    <row r="139" spans="7:34">
      <c r="G139" t="str" cm="1">
        <f t="array" ref="G139:J147">_xlfn._xlws.FILTER(B13:E38,ISNUMBER(SEARCH("かおり",B13:B38)))</f>
        <v>かおり野</v>
      </c>
      <c r="H139">
        <v>1510</v>
      </c>
      <c r="I139">
        <v>0</v>
      </c>
      <c r="J139">
        <v>12</v>
      </c>
      <c r="M139" t="str">
        <v>紅ほっぺ（無）</v>
      </c>
      <c r="N139">
        <v>280</v>
      </c>
      <c r="O139">
        <v>1610</v>
      </c>
      <c r="P139">
        <v>0</v>
      </c>
      <c r="Y139" t="str">
        <v>やよいひめ</v>
      </c>
      <c r="Z139">
        <v>940</v>
      </c>
      <c r="AA139">
        <v>580</v>
      </c>
      <c r="AB139">
        <v>9</v>
      </c>
      <c r="AE139" t="str">
        <v>無</v>
      </c>
      <c r="AF139">
        <v>170</v>
      </c>
      <c r="AG139">
        <v>150</v>
      </c>
      <c r="AH139">
        <v>0</v>
      </c>
    </row>
    <row r="140" spans="7:34">
      <c r="G140" t="str">
        <v>かおり野</v>
      </c>
      <c r="H140">
        <v>120</v>
      </c>
      <c r="I140">
        <v>0</v>
      </c>
      <c r="J140">
        <v>0</v>
      </c>
      <c r="M140" t="str">
        <v>紅ほっぺ（無）</v>
      </c>
      <c r="N140">
        <v>5460</v>
      </c>
      <c r="O140">
        <v>500</v>
      </c>
      <c r="P140">
        <v>20</v>
      </c>
      <c r="Y140" t="str">
        <v>やよいひめ</v>
      </c>
      <c r="Z140">
        <v>2530</v>
      </c>
      <c r="AA140">
        <v>810</v>
      </c>
      <c r="AB140">
        <v>23</v>
      </c>
      <c r="AE140" t="str">
        <v>紅ほっぺ</v>
      </c>
      <c r="AF140">
        <v>900</v>
      </c>
      <c r="AG140">
        <v>600</v>
      </c>
      <c r="AH140">
        <v>0</v>
      </c>
    </row>
    <row r="141" spans="7:34">
      <c r="G141" t="str">
        <v>かおり野</v>
      </c>
      <c r="H141">
        <v>3340</v>
      </c>
      <c r="I141">
        <v>0</v>
      </c>
      <c r="J141">
        <v>32</v>
      </c>
      <c r="M141" t="str">
        <v>紅ほっぺ</v>
      </c>
      <c r="N141">
        <v>0</v>
      </c>
      <c r="O141">
        <v>0</v>
      </c>
      <c r="P141">
        <v>0</v>
      </c>
      <c r="Y141" t="str">
        <v>やよいひめ</v>
      </c>
      <c r="Z141">
        <v>1530</v>
      </c>
      <c r="AA141">
        <v>30</v>
      </c>
      <c r="AB141">
        <v>15</v>
      </c>
      <c r="AE141" t="str">
        <v>紅ほっぺ</v>
      </c>
      <c r="AF141">
        <v>40</v>
      </c>
      <c r="AG141">
        <v>350</v>
      </c>
      <c r="AH141">
        <v>0</v>
      </c>
    </row>
    <row r="142" spans="7:34">
      <c r="G142" t="str">
        <v>かおり野</v>
      </c>
      <c r="H142">
        <v>240</v>
      </c>
      <c r="I142">
        <v>0</v>
      </c>
      <c r="J142">
        <v>0</v>
      </c>
      <c r="M142" t="str">
        <v>紅ほっぺ（無）</v>
      </c>
      <c r="N142">
        <v>0</v>
      </c>
      <c r="O142">
        <v>0</v>
      </c>
      <c r="P142">
        <v>0</v>
      </c>
      <c r="Y142" t="str">
        <v>やよいひめ</v>
      </c>
      <c r="Z142">
        <v>460</v>
      </c>
      <c r="AA142">
        <v>0</v>
      </c>
      <c r="AB142">
        <v>2</v>
      </c>
      <c r="AE142" t="str">
        <v>紅ほっぺ</v>
      </c>
      <c r="AF142">
        <v>140</v>
      </c>
      <c r="AG142">
        <v>520</v>
      </c>
      <c r="AH142">
        <v>1</v>
      </c>
    </row>
    <row r="143" spans="7:34">
      <c r="G143" t="str">
        <v>かおり野</v>
      </c>
      <c r="H143">
        <v>5140</v>
      </c>
      <c r="I143">
        <v>0</v>
      </c>
      <c r="J143">
        <v>31</v>
      </c>
      <c r="Y143" t="str">
        <v>やよいひめ</v>
      </c>
      <c r="Z143">
        <v>900</v>
      </c>
      <c r="AA143">
        <v>780</v>
      </c>
      <c r="AB143">
        <v>6</v>
      </c>
      <c r="AE143" t="str">
        <v>無</v>
      </c>
      <c r="AF143">
        <v>150</v>
      </c>
      <c r="AG143">
        <v>0</v>
      </c>
      <c r="AH143">
        <v>1</v>
      </c>
    </row>
    <row r="144" spans="7:34">
      <c r="G144" t="str">
        <v>かおり野</v>
      </c>
      <c r="H144">
        <v>480</v>
      </c>
      <c r="I144">
        <v>0</v>
      </c>
      <c r="J144">
        <v>0</v>
      </c>
      <c r="M144" s="9" t="str" cm="1">
        <f t="array" ref="M144:P155">_xlfn._xlws.FILTER(N2:Q85,ISNUMBER(SEARCH("やよい",N2:N85)))</f>
        <v>やよいひめ</v>
      </c>
      <c r="N144">
        <v>1680</v>
      </c>
      <c r="O144">
        <v>1540</v>
      </c>
      <c r="P144">
        <v>12</v>
      </c>
      <c r="AE144" t="str">
        <v>無</v>
      </c>
      <c r="AF144">
        <v>1400</v>
      </c>
      <c r="AG144">
        <v>1700</v>
      </c>
      <c r="AH144">
        <v>11</v>
      </c>
    </row>
    <row r="145" spans="7:34">
      <c r="G145" t="str">
        <v>かおり野</v>
      </c>
      <c r="H145">
        <v>840</v>
      </c>
      <c r="I145">
        <v>0</v>
      </c>
      <c r="J145">
        <v>0</v>
      </c>
      <c r="M145" t="str">
        <v>やよいひめ</v>
      </c>
      <c r="N145">
        <v>868</v>
      </c>
      <c r="O145">
        <v>712</v>
      </c>
      <c r="P145">
        <v>7</v>
      </c>
      <c r="Y145" t="str" cm="1">
        <f t="array" ref="Y145:AB152">_xlfn._xlws.FILTER(Z2:AC80,ISNUMBER(SEARCH("よつぼし",Z2:Z80)))</f>
        <v>よつぼし</v>
      </c>
      <c r="Z145">
        <v>100</v>
      </c>
      <c r="AA145">
        <v>100</v>
      </c>
      <c r="AB145">
        <v>1</v>
      </c>
      <c r="AE145" t="str">
        <v>無</v>
      </c>
      <c r="AF145">
        <v>240</v>
      </c>
      <c r="AG145">
        <v>0</v>
      </c>
      <c r="AH145">
        <v>2</v>
      </c>
    </row>
    <row r="146" spans="7:34">
      <c r="G146" t="str">
        <v>かおり野</v>
      </c>
      <c r="H146">
        <v>1600</v>
      </c>
      <c r="I146">
        <v>500</v>
      </c>
      <c r="J146">
        <v>15</v>
      </c>
      <c r="M146" t="str">
        <v>やよいひめ</v>
      </c>
      <c r="N146">
        <v>120</v>
      </c>
      <c r="O146">
        <v>60</v>
      </c>
      <c r="P146">
        <v>1</v>
      </c>
      <c r="Y146" t="str">
        <v>よつぼし</v>
      </c>
      <c r="Z146">
        <v>320</v>
      </c>
      <c r="AA146">
        <v>160</v>
      </c>
      <c r="AB146">
        <v>3</v>
      </c>
    </row>
    <row r="147" spans="7:34">
      <c r="G147" t="str">
        <v>かおり野</v>
      </c>
      <c r="H147">
        <v>300</v>
      </c>
      <c r="I147">
        <v>0</v>
      </c>
      <c r="J147">
        <v>0</v>
      </c>
      <c r="M147" t="str">
        <v>やよいひめ</v>
      </c>
      <c r="N147">
        <v>1200</v>
      </c>
      <c r="O147">
        <v>1640</v>
      </c>
      <c r="P147">
        <v>11</v>
      </c>
      <c r="Y147" t="str">
        <v>よつぼし</v>
      </c>
      <c r="Z147">
        <v>100</v>
      </c>
      <c r="AA147">
        <v>0</v>
      </c>
      <c r="AB147">
        <v>1</v>
      </c>
      <c r="AE147" s="9" t="str" cm="1">
        <f t="array" ref="AE147:AH166">_xlfn._xlws.FILTER(AF2:AI92,ISNUMBER(SEARCH("やよい",AF2:AF92)))</f>
        <v>やよいひめ</v>
      </c>
      <c r="AF147">
        <v>910</v>
      </c>
      <c r="AG147">
        <v>70</v>
      </c>
      <c r="AH147">
        <v>7</v>
      </c>
    </row>
    <row r="148" spans="7:34">
      <c r="M148" t="str">
        <v>やよいひめ</v>
      </c>
      <c r="N148">
        <v>1370</v>
      </c>
      <c r="O148">
        <v>1430</v>
      </c>
      <c r="P148">
        <v>11</v>
      </c>
      <c r="Y148" t="str">
        <v>よつぼし</v>
      </c>
      <c r="Z148">
        <v>320</v>
      </c>
      <c r="AA148">
        <v>590</v>
      </c>
      <c r="AB148">
        <v>3</v>
      </c>
      <c r="AE148" t="str">
        <v>やよいひめ</v>
      </c>
      <c r="AF148">
        <v>600</v>
      </c>
      <c r="AG148">
        <v>0</v>
      </c>
      <c r="AH148">
        <v>4</v>
      </c>
    </row>
    <row r="149" spans="7:34">
      <c r="M149" t="str">
        <v>やよいひめ</v>
      </c>
      <c r="N149">
        <v>0</v>
      </c>
      <c r="O149">
        <v>0</v>
      </c>
      <c r="P149">
        <v>0</v>
      </c>
      <c r="Y149" t="str">
        <v>よつぼし</v>
      </c>
      <c r="Z149">
        <v>1840</v>
      </c>
      <c r="AA149">
        <v>230</v>
      </c>
      <c r="AB149">
        <v>17</v>
      </c>
      <c r="AE149" t="str">
        <v>やよいひめ</v>
      </c>
      <c r="AF149">
        <v>200</v>
      </c>
      <c r="AG149">
        <v>120</v>
      </c>
      <c r="AH149">
        <v>2</v>
      </c>
    </row>
    <row r="150" spans="7:34">
      <c r="M150" t="str">
        <v>やよいひめ</v>
      </c>
      <c r="N150">
        <v>1060</v>
      </c>
      <c r="O150">
        <v>2560</v>
      </c>
      <c r="P150">
        <v>8</v>
      </c>
      <c r="Y150" t="str">
        <v>よつぼし</v>
      </c>
      <c r="Z150">
        <v>320</v>
      </c>
      <c r="AA150">
        <v>700</v>
      </c>
      <c r="AB150">
        <v>3</v>
      </c>
      <c r="AE150" t="str">
        <v>やよいひめ</v>
      </c>
      <c r="AF150">
        <v>340</v>
      </c>
      <c r="AG150">
        <v>220</v>
      </c>
      <c r="AH150">
        <v>3</v>
      </c>
    </row>
    <row r="151" spans="7:34">
      <c r="M151" t="str">
        <v>やよいひめ</v>
      </c>
      <c r="N151">
        <v>1160</v>
      </c>
      <c r="O151">
        <v>1600</v>
      </c>
      <c r="P151">
        <v>9</v>
      </c>
      <c r="Y151" t="str">
        <v>よつぼし</v>
      </c>
      <c r="Z151">
        <v>2250</v>
      </c>
      <c r="AA151">
        <v>240</v>
      </c>
      <c r="AB151">
        <v>21</v>
      </c>
      <c r="AE151" t="str">
        <v>やよいひめ</v>
      </c>
      <c r="AF151">
        <v>3100</v>
      </c>
      <c r="AG151">
        <v>510</v>
      </c>
      <c r="AH151">
        <v>31</v>
      </c>
    </row>
    <row r="152" spans="7:34">
      <c r="M152" t="str">
        <v>やよいひめ</v>
      </c>
      <c r="N152">
        <v>0</v>
      </c>
      <c r="O152">
        <v>0</v>
      </c>
      <c r="P152">
        <v>0</v>
      </c>
      <c r="Y152" t="str">
        <v>よつぼし</v>
      </c>
      <c r="Z152">
        <v>140</v>
      </c>
      <c r="AA152">
        <v>600</v>
      </c>
      <c r="AB152">
        <v>6</v>
      </c>
      <c r="AE152" t="str">
        <v>やよいひめ</v>
      </c>
      <c r="AF152">
        <v>1020</v>
      </c>
      <c r="AG152">
        <v>0</v>
      </c>
      <c r="AH152">
        <v>7</v>
      </c>
    </row>
    <row r="153" spans="7:34">
      <c r="M153" t="str">
        <v>やよいひめ</v>
      </c>
      <c r="N153">
        <v>600</v>
      </c>
      <c r="O153">
        <v>1760</v>
      </c>
      <c r="P153">
        <v>5</v>
      </c>
      <c r="AE153" t="str">
        <v>やよいひめ</v>
      </c>
      <c r="AF153">
        <v>1760</v>
      </c>
      <c r="AG153">
        <v>620</v>
      </c>
      <c r="AH153">
        <v>15</v>
      </c>
    </row>
    <row r="154" spans="7:34">
      <c r="M154" t="str">
        <v>やよいひめ</v>
      </c>
      <c r="N154">
        <v>0</v>
      </c>
      <c r="O154">
        <v>0</v>
      </c>
      <c r="P154">
        <v>0</v>
      </c>
      <c r="Y154" t="str" cm="1">
        <f t="array" ref="Y154:AB163">_xlfn._xlws.FILTER(Z2:AC80,ISNUMBER(SEARCH("かおり",Z2:Z80)))</f>
        <v>かおり野</v>
      </c>
      <c r="Z154">
        <v>140</v>
      </c>
      <c r="AA154">
        <v>600</v>
      </c>
      <c r="AB154">
        <v>1</v>
      </c>
      <c r="AE154" t="str">
        <v>やよいひめ</v>
      </c>
      <c r="AF154">
        <v>2960</v>
      </c>
      <c r="AG154">
        <v>360</v>
      </c>
      <c r="AH154">
        <v>26</v>
      </c>
    </row>
    <row r="155" spans="7:34">
      <c r="M155" t="str">
        <v>やよいひめ</v>
      </c>
      <c r="N155">
        <v>0</v>
      </c>
      <c r="O155">
        <v>0</v>
      </c>
      <c r="P155">
        <v>0</v>
      </c>
      <c r="Y155" t="str">
        <v>かおり野</v>
      </c>
      <c r="Z155">
        <v>0</v>
      </c>
      <c r="AA155">
        <v>100</v>
      </c>
      <c r="AB155">
        <v>0</v>
      </c>
      <c r="AE155" t="str">
        <v>やよいひめ</v>
      </c>
      <c r="AF155">
        <v>4170</v>
      </c>
      <c r="AG155">
        <v>1400</v>
      </c>
      <c r="AH155">
        <v>40</v>
      </c>
    </row>
    <row r="156" spans="7:34">
      <c r="Y156" t="str">
        <v>かおり野</v>
      </c>
      <c r="Z156">
        <v>1660</v>
      </c>
      <c r="AA156">
        <v>830</v>
      </c>
      <c r="AB156">
        <v>13</v>
      </c>
      <c r="AE156" t="str">
        <v>やよいひめ</v>
      </c>
      <c r="AF156">
        <v>100</v>
      </c>
      <c r="AG156">
        <v>200</v>
      </c>
      <c r="AH156">
        <v>1</v>
      </c>
    </row>
    <row r="157" spans="7:34">
      <c r="M157" t="str" cm="1">
        <f t="array" ref="M157:P164">_xlfn._xlws.FILTER(N2:Q85,ISNUMBER(SEARCH("よつぼし",N2:N85)))</f>
        <v>よつぼし</v>
      </c>
      <c r="N157">
        <v>1990</v>
      </c>
      <c r="O157">
        <v>1250</v>
      </c>
      <c r="P157">
        <v>17</v>
      </c>
      <c r="Y157" t="str">
        <v>かおり野</v>
      </c>
      <c r="Z157">
        <v>110</v>
      </c>
      <c r="AA157">
        <v>150</v>
      </c>
      <c r="AB157">
        <v>1</v>
      </c>
      <c r="AE157" t="str">
        <v>やよいひめ</v>
      </c>
      <c r="AF157">
        <v>220</v>
      </c>
      <c r="AG157">
        <v>1120</v>
      </c>
      <c r="AH157">
        <v>2</v>
      </c>
    </row>
    <row r="158" spans="7:34">
      <c r="M158" t="str">
        <v>よつぼし</v>
      </c>
      <c r="N158">
        <v>260</v>
      </c>
      <c r="O158">
        <v>60</v>
      </c>
      <c r="P158">
        <v>1</v>
      </c>
      <c r="Y158" t="str">
        <v>かおり野</v>
      </c>
      <c r="Z158">
        <v>2800</v>
      </c>
      <c r="AA158">
        <v>1060</v>
      </c>
      <c r="AB158">
        <v>24</v>
      </c>
      <c r="AE158" t="str">
        <v>やよいひめ</v>
      </c>
      <c r="AF158">
        <v>1010</v>
      </c>
      <c r="AG158">
        <v>450</v>
      </c>
      <c r="AH158">
        <v>7</v>
      </c>
    </row>
    <row r="159" spans="7:34">
      <c r="M159" t="str">
        <v>よつぼし</v>
      </c>
      <c r="N159">
        <v>1990</v>
      </c>
      <c r="O159">
        <v>1350</v>
      </c>
      <c r="P159">
        <v>17</v>
      </c>
      <c r="Y159" t="str">
        <v>かおり野</v>
      </c>
      <c r="Z159">
        <v>330</v>
      </c>
      <c r="AA159">
        <v>290</v>
      </c>
      <c r="AB159">
        <v>3</v>
      </c>
      <c r="AE159" t="str">
        <v>やよいひめ</v>
      </c>
      <c r="AF159">
        <v>680</v>
      </c>
      <c r="AG159">
        <v>0</v>
      </c>
      <c r="AH159">
        <v>5</v>
      </c>
    </row>
    <row r="160" spans="7:34">
      <c r="M160" t="str">
        <v>よつぼし</v>
      </c>
      <c r="N160">
        <v>0</v>
      </c>
      <c r="O160">
        <v>0</v>
      </c>
      <c r="P160">
        <v>0</v>
      </c>
      <c r="Y160" t="str">
        <v>かおり野</v>
      </c>
      <c r="Z160">
        <v>3640</v>
      </c>
      <c r="AA160">
        <v>1120</v>
      </c>
      <c r="AB160">
        <v>26</v>
      </c>
      <c r="AE160" t="str">
        <v>やよいひめ</v>
      </c>
      <c r="AF160">
        <v>0</v>
      </c>
      <c r="AG160">
        <v>800</v>
      </c>
      <c r="AH160">
        <v>0</v>
      </c>
    </row>
    <row r="161" spans="13:34">
      <c r="M161" t="str">
        <v>よつぼし</v>
      </c>
      <c r="N161">
        <v>2300</v>
      </c>
      <c r="O161">
        <v>325</v>
      </c>
      <c r="P161">
        <v>22</v>
      </c>
      <c r="Y161" t="str">
        <v>かおり野</v>
      </c>
      <c r="Z161">
        <v>320</v>
      </c>
      <c r="AA161">
        <v>240</v>
      </c>
      <c r="AB161">
        <v>3</v>
      </c>
      <c r="AE161" t="str">
        <v>やよいひめ</v>
      </c>
      <c r="AF161">
        <v>370</v>
      </c>
      <c r="AG161">
        <v>130</v>
      </c>
      <c r="AH161">
        <v>3</v>
      </c>
    </row>
    <row r="162" spans="13:34">
      <c r="M162" t="str">
        <v>よつぼし</v>
      </c>
      <c r="N162">
        <v>200</v>
      </c>
      <c r="O162">
        <v>166</v>
      </c>
      <c r="P162">
        <v>1</v>
      </c>
      <c r="Y162" t="str">
        <v>かおりの</v>
      </c>
      <c r="Z162">
        <v>2330</v>
      </c>
      <c r="AA162">
        <v>1170</v>
      </c>
      <c r="AB162">
        <v>25</v>
      </c>
      <c r="AE162" t="str">
        <v>やよいひめ</v>
      </c>
      <c r="AF162">
        <v>110</v>
      </c>
      <c r="AG162">
        <v>330</v>
      </c>
      <c r="AH162">
        <v>1</v>
      </c>
    </row>
    <row r="163" spans="13:34">
      <c r="M163" t="str">
        <v>よつぼし</v>
      </c>
      <c r="N163">
        <v>1326</v>
      </c>
      <c r="O163">
        <v>2050</v>
      </c>
      <c r="P163">
        <v>12</v>
      </c>
      <c r="Y163" t="str">
        <v>かおりの</v>
      </c>
      <c r="Z163">
        <v>100</v>
      </c>
      <c r="AA163">
        <v>80</v>
      </c>
      <c r="AB163">
        <v>1</v>
      </c>
      <c r="AE163" t="str">
        <v>やよいひめ</v>
      </c>
      <c r="AF163">
        <v>850</v>
      </c>
      <c r="AG163">
        <v>0</v>
      </c>
      <c r="AH163">
        <v>6</v>
      </c>
    </row>
    <row r="164" spans="13:34">
      <c r="M164" t="str">
        <v>よつぼし</v>
      </c>
      <c r="N164">
        <v>300</v>
      </c>
      <c r="O164">
        <v>0</v>
      </c>
      <c r="P164">
        <v>3</v>
      </c>
      <c r="AE164" t="str">
        <v>やよいひめ</v>
      </c>
      <c r="AF164">
        <v>0</v>
      </c>
      <c r="AG164">
        <v>540</v>
      </c>
      <c r="AH164">
        <v>0</v>
      </c>
    </row>
    <row r="165" spans="13:34">
      <c r="AE165" t="str">
        <v>やよいひめ</v>
      </c>
      <c r="AF165">
        <v>1900</v>
      </c>
      <c r="AG165">
        <v>2800</v>
      </c>
      <c r="AH165">
        <v>13</v>
      </c>
    </row>
    <row r="166" spans="13:34">
      <c r="M166" t="str" cm="1">
        <f t="array" ref="M166:P173">_xlfn._xlws.FILTER(N2:Q85,ISNUMBER(SEARCH("かおり",N2:N85)))</f>
        <v>かおり野</v>
      </c>
      <c r="N166">
        <v>400</v>
      </c>
      <c r="O166">
        <v>920</v>
      </c>
      <c r="P166">
        <v>4</v>
      </c>
      <c r="AE166" t="str">
        <v>やよいひめ</v>
      </c>
      <c r="AF166">
        <v>480</v>
      </c>
      <c r="AG166">
        <v>0</v>
      </c>
      <c r="AH166">
        <v>4</v>
      </c>
    </row>
    <row r="167" spans="13:34">
      <c r="M167" t="str">
        <v>かおり野</v>
      </c>
      <c r="N167">
        <v>260</v>
      </c>
      <c r="O167">
        <v>40</v>
      </c>
      <c r="P167">
        <v>2</v>
      </c>
    </row>
    <row r="168" spans="13:34">
      <c r="M168" t="str">
        <v>かおり野</v>
      </c>
      <c r="N168">
        <v>580</v>
      </c>
      <c r="O168">
        <v>180</v>
      </c>
      <c r="P168">
        <v>5</v>
      </c>
      <c r="AE168" t="str" cm="1">
        <f t="array" ref="AE168:AH177">_xlfn._xlws.FILTER(AF2:AI92,ISNUMBER(SEARCH("よつぼし",AF2:AF92)))</f>
        <v>よつぼし</v>
      </c>
      <c r="AF168">
        <v>120</v>
      </c>
      <c r="AG168">
        <v>200</v>
      </c>
      <c r="AH168">
        <v>1</v>
      </c>
    </row>
    <row r="169" spans="13:34">
      <c r="M169" t="str">
        <v>かおり野</v>
      </c>
      <c r="N169">
        <v>139</v>
      </c>
      <c r="O169">
        <v>220</v>
      </c>
      <c r="P169">
        <v>0</v>
      </c>
      <c r="AE169" t="str">
        <v>よつぼし</v>
      </c>
      <c r="AF169">
        <v>5420</v>
      </c>
      <c r="AG169">
        <v>500</v>
      </c>
      <c r="AH169">
        <v>39</v>
      </c>
    </row>
    <row r="170" spans="13:34">
      <c r="M170" t="str">
        <v>かおり野</v>
      </c>
      <c r="N170">
        <v>1500</v>
      </c>
      <c r="O170">
        <v>573</v>
      </c>
      <c r="P170">
        <v>5</v>
      </c>
      <c r="AE170" t="str">
        <v>よつぼし</v>
      </c>
      <c r="AF170">
        <v>4290</v>
      </c>
      <c r="AG170">
        <v>3330</v>
      </c>
      <c r="AH170">
        <v>40</v>
      </c>
    </row>
    <row r="171" spans="13:34">
      <c r="M171" t="str">
        <v>かおり野</v>
      </c>
      <c r="N171">
        <v>140</v>
      </c>
      <c r="O171">
        <v>269</v>
      </c>
      <c r="P171">
        <v>1</v>
      </c>
      <c r="AE171" t="str">
        <v>よつぼし</v>
      </c>
      <c r="AF171">
        <v>100</v>
      </c>
      <c r="AG171">
        <v>200</v>
      </c>
      <c r="AH171">
        <v>1</v>
      </c>
    </row>
    <row r="172" spans="13:34">
      <c r="M172" t="str">
        <v>かおり野</v>
      </c>
      <c r="N172">
        <v>300</v>
      </c>
      <c r="O172">
        <v>940</v>
      </c>
      <c r="P172">
        <v>2</v>
      </c>
      <c r="AE172" t="str">
        <v>よつぼし</v>
      </c>
      <c r="AF172">
        <v>1110</v>
      </c>
      <c r="AG172">
        <v>2930</v>
      </c>
      <c r="AH172">
        <v>11</v>
      </c>
    </row>
    <row r="173" spans="13:34">
      <c r="M173" t="str">
        <v>かおり野</v>
      </c>
      <c r="N173">
        <v>340</v>
      </c>
      <c r="O173">
        <v>1840</v>
      </c>
      <c r="P173">
        <v>1</v>
      </c>
      <c r="AE173" t="str">
        <v>よつぼし</v>
      </c>
      <c r="AF173">
        <v>0</v>
      </c>
      <c r="AG173">
        <v>620</v>
      </c>
      <c r="AH173">
        <v>0</v>
      </c>
    </row>
    <row r="174" spans="13:34">
      <c r="AE174" t="str">
        <v>よつぼし</v>
      </c>
      <c r="AF174">
        <v>0</v>
      </c>
      <c r="AG174">
        <v>3400</v>
      </c>
      <c r="AH174">
        <v>0</v>
      </c>
    </row>
    <row r="175" spans="13:34">
      <c r="AE175" t="str">
        <v>よつぼし</v>
      </c>
      <c r="AF175">
        <v>300</v>
      </c>
      <c r="AG175">
        <v>4860</v>
      </c>
      <c r="AH175">
        <v>3</v>
      </c>
    </row>
    <row r="176" spans="13:34">
      <c r="AE176" t="str">
        <v>よつぼし</v>
      </c>
      <c r="AF176">
        <v>0</v>
      </c>
      <c r="AG176">
        <v>460</v>
      </c>
      <c r="AH176">
        <v>0</v>
      </c>
    </row>
    <row r="177" spans="31:34">
      <c r="AE177" t="str">
        <v>よつぼし</v>
      </c>
      <c r="AF177">
        <v>330</v>
      </c>
      <c r="AG177">
        <v>1970</v>
      </c>
      <c r="AH177">
        <v>2</v>
      </c>
    </row>
    <row r="179" spans="31:34">
      <c r="AE179" t="str" cm="1">
        <f t="array" ref="AE179:AH187">_xlfn._xlws.FILTER(AF2:AI92,ISNUMBER(SEARCH("かおり",AF2:AF92)))</f>
        <v>かおりの</v>
      </c>
      <c r="AF179">
        <v>2180</v>
      </c>
      <c r="AG179">
        <v>1000</v>
      </c>
      <c r="AH179">
        <v>17</v>
      </c>
    </row>
    <row r="180" spans="31:34">
      <c r="AE180" t="str">
        <v>かおりの</v>
      </c>
      <c r="AF180">
        <v>140</v>
      </c>
      <c r="AG180">
        <v>160</v>
      </c>
      <c r="AH180">
        <v>1</v>
      </c>
    </row>
    <row r="181" spans="31:34">
      <c r="AE181" t="str">
        <v>かおりの</v>
      </c>
      <c r="AF181">
        <v>2700</v>
      </c>
      <c r="AG181">
        <v>2260</v>
      </c>
      <c r="AH181">
        <v>22</v>
      </c>
    </row>
    <row r="182" spans="31:34">
      <c r="AE182" t="str">
        <v>かおり野</v>
      </c>
      <c r="AF182">
        <v>1280</v>
      </c>
      <c r="AG182">
        <v>4980</v>
      </c>
      <c r="AH182">
        <v>11</v>
      </c>
    </row>
    <row r="183" spans="31:34">
      <c r="AE183" t="str">
        <v>かおり野</v>
      </c>
      <c r="AF183">
        <v>0</v>
      </c>
      <c r="AG183">
        <v>500</v>
      </c>
      <c r="AH183">
        <v>0</v>
      </c>
    </row>
    <row r="184" spans="31:34">
      <c r="AE184" t="str">
        <v>かおりの</v>
      </c>
      <c r="AF184">
        <v>180</v>
      </c>
      <c r="AG184">
        <v>830</v>
      </c>
      <c r="AH184">
        <v>1</v>
      </c>
    </row>
    <row r="185" spans="31:34">
      <c r="AE185" t="str">
        <v>かおりの</v>
      </c>
      <c r="AF185">
        <v>0</v>
      </c>
      <c r="AG185">
        <v>260</v>
      </c>
      <c r="AH185">
        <v>0</v>
      </c>
    </row>
    <row r="186" spans="31:34">
      <c r="AE186" t="str">
        <v>かおりの</v>
      </c>
      <c r="AF186">
        <v>200</v>
      </c>
      <c r="AG186">
        <v>480</v>
      </c>
      <c r="AH186">
        <v>2</v>
      </c>
    </row>
    <row r="187" spans="31:34">
      <c r="AE187" t="str">
        <v>かおりの</v>
      </c>
      <c r="AF187">
        <v>0</v>
      </c>
      <c r="AG187">
        <v>420</v>
      </c>
      <c r="AH187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Sheet5</vt:lpstr>
      <vt:lpstr>Sheet4</vt:lpstr>
      <vt:lpstr>企</vt:lpstr>
      <vt:lpstr>Sheet2</vt:lpstr>
      <vt:lpstr>企収</vt:lpstr>
      <vt:lpstr>品</vt:lpstr>
      <vt:lpstr>Sheet1</vt:lpstr>
      <vt:lpstr>品収</vt:lpstr>
      <vt:lpstr>元</vt:lpstr>
      <vt:lpstr>企コ</vt:lpstr>
      <vt:lpstr>品コ</vt:lpstr>
      <vt:lpstr>方</vt:lpstr>
      <vt:lpstr>方コ</vt:lpstr>
      <vt:lpstr>方収</vt:lpstr>
      <vt:lpstr>月</vt:lpstr>
      <vt:lpstr>Sheet3</vt:lpstr>
      <vt:lpstr>月コ</vt:lpstr>
      <vt:lpstr>月収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徹平</dc:creator>
  <cp:lastModifiedBy>松岡　徹平</cp:lastModifiedBy>
  <cp:lastPrinted>2025-07-16T08:12:27Z</cp:lastPrinted>
  <dcterms:created xsi:type="dcterms:W3CDTF">2015-06-05T18:19:34Z</dcterms:created>
  <dcterms:modified xsi:type="dcterms:W3CDTF">2025-07-22T08:43:10Z</dcterms:modified>
</cp:coreProperties>
</file>